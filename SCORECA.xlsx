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03fa9d1494ab234/Desktop/ScientificWork/imp_SW/"/>
    </mc:Choice>
  </mc:AlternateContent>
  <xr:revisionPtr revIDLastSave="17" documentId="13_ncr:1_{CBCDC1AA-A020-4097-B008-7A49A4E3BAF7}" xr6:coauthVersionLast="47" xr6:coauthVersionMax="47" xr10:uidLastSave="{6F0EFA11-1905-4604-86ED-0A2062A61AD9}"/>
  <bookViews>
    <workbookView xWindow="-108" yWindow="-108" windowWidth="23256" windowHeight="12456" xr2:uid="{02CCAE51-E170-43C2-BFFB-04662B028220}"/>
  </bookViews>
  <sheets>
    <sheet name="All_scorecards" sheetId="1" r:id="rId1"/>
    <sheet name="SCORECARD_1" sheetId="3" r:id="rId2"/>
    <sheet name="SCORECARD_2" sheetId="2" r:id="rId3"/>
    <sheet name="SCORECARD_3" sheetId="4" r:id="rId4"/>
    <sheet name="SCORECARD_4" sheetId="5" r:id="rId5"/>
    <sheet name="Summary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2" i="1"/>
  <c r="B2" i="6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2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</calcChain>
</file>

<file path=xl/sharedStrings.xml><?xml version="1.0" encoding="utf-8"?>
<sst xmlns="http://schemas.openxmlformats.org/spreadsheetml/2006/main" count="912" uniqueCount="83">
  <si>
    <t>Building</t>
  </si>
  <si>
    <t>Country</t>
  </si>
  <si>
    <t>Level</t>
  </si>
  <si>
    <t>Category</t>
  </si>
  <si>
    <t>Type</t>
  </si>
  <si>
    <t>Name</t>
  </si>
  <si>
    <t>Award</t>
  </si>
  <si>
    <t>Achieved</t>
  </si>
  <si>
    <t>Possible</t>
  </si>
  <si>
    <t>Percentage</t>
  </si>
  <si>
    <t>Prereq</t>
  </si>
  <si>
    <t>0 / 0</t>
  </si>
  <si>
    <t>Credit</t>
  </si>
  <si>
    <t>0 / 2</t>
  </si>
  <si>
    <t>0 / 1</t>
  </si>
  <si>
    <r>
      <rPr>
        <b/>
        <sz val="10"/>
        <color rgb="FF777777"/>
        <rFont val="Tahoma"/>
        <family val="2"/>
      </rPr>
      <t>AWARDED: 17 / 89</t>
    </r>
  </si>
  <si>
    <t>Fundamental commissioning and verification</t>
  </si>
  <si>
    <t>Minimum energy performance</t>
  </si>
  <si>
    <t>Building-level energy metering</t>
  </si>
  <si>
    <t>Fundamental refrigerant Mgmt</t>
  </si>
  <si>
    <t>Minimum Energy Performance (2024 Update)</t>
  </si>
  <si>
    <t>Enhanced commissioning</t>
  </si>
  <si>
    <t>0 / 6</t>
  </si>
  <si>
    <t>Advanced energy metering</t>
  </si>
  <si>
    <t>Demand response</t>
  </si>
  <si>
    <t>Renewable energy production</t>
  </si>
  <si>
    <t>2 / 3</t>
  </si>
  <si>
    <t>Enhanced refrigerant Mgmt</t>
  </si>
  <si>
    <t>1 / 1</t>
  </si>
  <si>
    <t>Green power and carbon offsets</t>
  </si>
  <si>
    <t>Optimize Energy Performance (2024 Update)</t>
  </si>
  <si>
    <t>0 / 20</t>
  </si>
  <si>
    <t>Optimize energy performance</t>
  </si>
  <si>
    <t>14 / 18</t>
  </si>
  <si>
    <t>Energy performance metering path</t>
  </si>
  <si>
    <t>REQUIRED</t>
  </si>
  <si>
    <t>District Energy</t>
  </si>
  <si>
    <t>Energy &amp; Atmosphere</t>
  </si>
  <si>
    <t>Storage and collection of recyclables</t>
  </si>
  <si>
    <t>Construction and demolition waste Mgmt planning</t>
  </si>
  <si>
    <t>Building life-cycle impact reduction</t>
  </si>
  <si>
    <t>0 / 5</t>
  </si>
  <si>
    <t>Building product disclosure and optimization - environmental product d...</t>
  </si>
  <si>
    <t>Building product disclosure and optimization - sourcing of raw materia...</t>
  </si>
  <si>
    <t>Building product disclosure and optimization - material ingredients</t>
  </si>
  <si>
    <t>Construction and demolition waste Mgmt</t>
  </si>
  <si>
    <t>2 / 2</t>
  </si>
  <si>
    <r>
      <rPr>
        <b/>
        <sz val="10"/>
        <color rgb="FF777777"/>
        <rFont val="Tahoma"/>
        <family val="2"/>
      </rPr>
      <t>AWARDED: 2 / 13</t>
    </r>
  </si>
  <si>
    <t>MATERIAL AND RESOURCES</t>
  </si>
  <si>
    <t>RD</t>
  </si>
  <si>
    <t>5 / 6</t>
  </si>
  <si>
    <t>1 / 2</t>
  </si>
  <si>
    <t>0 / 3</t>
  </si>
  <si>
    <t>12 / 18</t>
  </si>
  <si>
    <r>
      <rPr>
        <b/>
        <sz val="10"/>
        <color rgb="FF777777"/>
        <rFont val="Tahoma"/>
        <family val="2"/>
      </rPr>
      <t>AWARDED: 19 / 89</t>
    </r>
  </si>
  <si>
    <t>2 / 6</t>
  </si>
  <si>
    <t>AWARDED: 8/ 14</t>
  </si>
  <si>
    <t>4 / 6</t>
  </si>
  <si>
    <t>3 / 3</t>
  </si>
  <si>
    <t>18 / 18</t>
  </si>
  <si>
    <r>
      <rPr>
        <b/>
        <sz val="10"/>
        <color rgb="FF777777"/>
        <rFont val="Tahoma"/>
        <family val="2"/>
      </rPr>
      <t>AWARDED: 25 / 89</t>
    </r>
  </si>
  <si>
    <r>
      <rPr>
        <b/>
        <sz val="10"/>
        <color rgb="FF777777"/>
        <rFont val="Tahoma"/>
        <family val="2"/>
      </rPr>
      <t>AWARDED: 4 / 13</t>
    </r>
  </si>
  <si>
    <r>
      <rPr>
        <b/>
        <sz val="10"/>
        <color rgb="FF777777"/>
        <rFont val="Tahoma"/>
        <family val="2"/>
      </rPr>
      <t>AWARDED: 29 / 89</t>
    </r>
  </si>
  <si>
    <t>MATERIAL &amp; RESOURCESS</t>
  </si>
  <si>
    <r>
      <rPr>
        <b/>
        <sz val="10"/>
        <color rgb="FF777777"/>
        <rFont val="Tahoma"/>
        <family val="2"/>
      </rPr>
      <t>AWARDED: 8 / 14</t>
    </r>
  </si>
  <si>
    <t>Building product disclosure and optimization - sourcing of raw material</t>
  </si>
  <si>
    <t>Building product disclosure and optimization - environmental product d</t>
  </si>
  <si>
    <t>Hamburg Proebenweg</t>
  </si>
  <si>
    <t>Germany</t>
  </si>
  <si>
    <t>Gold</t>
  </si>
  <si>
    <t>Pineville Building801Replacement</t>
  </si>
  <si>
    <t>U.S.</t>
  </si>
  <si>
    <t>Silver</t>
  </si>
  <si>
    <t>Berlin sellersiebzehn</t>
  </si>
  <si>
    <t>Platinum</t>
  </si>
  <si>
    <t>Graefelfing LifeScienceCenterLSC</t>
  </si>
  <si>
    <t>0/0</t>
  </si>
  <si>
    <t>Building product disclosure and optimization - sourcing of raw materia</t>
  </si>
  <si>
    <t>type_cleaned</t>
  </si>
  <si>
    <t>Total Achieved</t>
  </si>
  <si>
    <t>Lifecycle CO₂ Saved (tCO₂e)</t>
  </si>
  <si>
    <t>GEG Emissions (tCO₂e)</t>
  </si>
  <si>
    <t>Net CO₂ (tCO₂e)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</si>
</sst>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6"/>
      <name val="Tahoma"/>
      <family val="2"/>
    </font>
    <font>
      <b/>
      <sz val="10"/>
      <name val="Tahoma"/>
      <family val="2"/>
    </font>
    <font>
      <b/>
      <sz val="10"/>
      <color rgb="FFFFB800"/>
      <name val="Tahoma"/>
      <family val="2"/>
    </font>
    <font>
      <b/>
      <sz val="10"/>
      <color rgb="FF777777"/>
      <name val="Tahoma"/>
      <family val="2"/>
    </font>
    <font>
      <sz val="10"/>
      <name val="Tahoma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FFB800"/>
      </bottom>
      <diagonal/>
    </border>
    <border>
      <left/>
      <right/>
      <top style="thin">
        <color rgb="FFFFB800"/>
      </top>
      <bottom style="thin">
        <color rgb="FFFFB800"/>
      </bottom>
      <diagonal/>
    </border>
    <border>
      <left/>
      <right/>
      <top/>
      <bottom style="thin">
        <color rgb="FF5EAB16"/>
      </bottom>
      <diagonal/>
    </border>
    <border>
      <left/>
      <right/>
      <top style="thin">
        <color rgb="FF5EAB16"/>
      </top>
      <bottom style="thin">
        <color rgb="FF5EAB16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30">
    <xf numFmtId="0" fontId="0" fillId="0" borderId="0" xfId="0"/>
    <xf numFmtId="16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right" vertical="top"/>
    </xf>
    <xf numFmtId="0" fontId="6" fillId="0" borderId="4" xfId="0" applyFont="1" applyBorder="1" applyAlignment="1">
      <alignment horizontal="left" vertical="top"/>
    </xf>
    <xf numFmtId="0" fontId="6" fillId="0" borderId="4" xfId="0" applyFont="1" applyBorder="1" applyAlignment="1">
      <alignment horizontal="right" vertical="top"/>
    </xf>
    <xf numFmtId="0" fontId="3" fillId="0" borderId="3" xfId="0" applyFont="1" applyBorder="1" applyAlignment="1">
      <alignment vertical="top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1" fontId="0" fillId="0" borderId="0" xfId="0" applyNumberFormat="1"/>
    <xf numFmtId="1" fontId="6" fillId="0" borderId="1" xfId="0" applyNumberFormat="1" applyFont="1" applyBorder="1" applyAlignment="1">
      <alignment horizontal="center" vertical="top"/>
    </xf>
    <xf numFmtId="1" fontId="6" fillId="0" borderId="0" xfId="0" applyNumberFormat="1" applyFont="1" applyAlignment="1">
      <alignment horizontal="center" vertical="top"/>
    </xf>
    <xf numFmtId="1" fontId="6" fillId="0" borderId="2" xfId="0" applyNumberFormat="1" applyFont="1" applyBorder="1" applyAlignment="1">
      <alignment horizontal="center" vertical="top"/>
    </xf>
    <xf numFmtId="1" fontId="6" fillId="0" borderId="3" xfId="0" applyNumberFormat="1" applyFont="1" applyBorder="1" applyAlignment="1">
      <alignment horizontal="center" vertical="top"/>
    </xf>
    <xf numFmtId="1" fontId="6" fillId="0" borderId="4" xfId="0" applyNumberFormat="1" applyFont="1" applyBorder="1" applyAlignment="1">
      <alignment horizontal="center" vertical="top"/>
    </xf>
    <xf numFmtId="1" fontId="6" fillId="0" borderId="2" xfId="0" applyNumberFormat="1" applyFont="1" applyBorder="1" applyAlignment="1">
      <alignment horizontal="center" vertical="top" wrapText="1"/>
    </xf>
    <xf numFmtId="1" fontId="6" fillId="0" borderId="0" xfId="0" applyNumberFormat="1" applyFont="1" applyAlignment="1">
      <alignment horizontal="center" vertical="top" wrapText="1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4360E-BF4C-431D-8CF7-46E00F57CF1A}">
  <dimension ref="A1:N89"/>
  <sheetViews>
    <sheetView tabSelected="1" topLeftCell="E1" workbookViewId="0">
      <pane ySplit="1" topLeftCell="A64" activePane="bottomLeft" state="frozen"/>
      <selection pane="bottomLeft" activeCell="N1" sqref="N1:N1048576"/>
    </sheetView>
  </sheetViews>
  <sheetFormatPr defaultRowHeight="14.4" x14ac:dyDescent="0.3"/>
  <cols>
    <col min="1" max="1" width="19.109375" bestFit="1" customWidth="1"/>
    <col min="4" max="4" width="28.109375" bestFit="1" customWidth="1"/>
    <col min="6" max="6" width="62" bestFit="1" customWidth="1"/>
    <col min="7" max="7" width="10.21875" bestFit="1" customWidth="1"/>
    <col min="8" max="9" width="8.88671875" style="21"/>
    <col min="11" max="11" width="11.88671875" bestFit="1" customWidth="1"/>
    <col min="12" max="12" width="26" style="2" customWidth="1"/>
    <col min="13" max="13" width="22.21875" style="2" customWidth="1"/>
    <col min="14" max="14" width="19.44140625" style="2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1" t="s">
        <v>7</v>
      </c>
      <c r="I1" s="21" t="s">
        <v>8</v>
      </c>
      <c r="J1" t="s">
        <v>9</v>
      </c>
      <c r="K1" t="s">
        <v>78</v>
      </c>
      <c r="L1" s="2" t="s">
        <v>80</v>
      </c>
      <c r="M1" s="2" t="s">
        <v>81</v>
      </c>
      <c r="N1" s="2" t="s">
        <v>82</v>
      </c>
    </row>
    <row r="2" spans="1:14" x14ac:dyDescent="0.3">
      <c r="A2" t="s">
        <v>67</v>
      </c>
      <c r="B2" t="s">
        <v>68</v>
      </c>
      <c r="C2" t="s">
        <v>69</v>
      </c>
      <c r="D2" s="11" t="s">
        <v>37</v>
      </c>
      <c r="E2" s="12" t="s">
        <v>10</v>
      </c>
      <c r="F2" s="12" t="s">
        <v>16</v>
      </c>
      <c r="G2" s="12" t="s">
        <v>11</v>
      </c>
      <c r="H2" s="22">
        <v>0</v>
      </c>
      <c r="I2" s="23">
        <v>0</v>
      </c>
      <c r="J2" s="29">
        <f>IF(I2=0, 0, H2/I2)</f>
        <v>0</v>
      </c>
      <c r="K2" t="str">
        <f>IF(AND(H2=0,I2=0),"Prerequisite","Credit")</f>
        <v>Prerequisite</v>
      </c>
      <c r="L2" s="2">
        <f>IF(AND(D2="MATERIAL AND RESOURCES", F2="Building life-cycle impact reduction"), H2 * 50, 0)</f>
        <v>0</v>
      </c>
      <c r="M2" s="2">
        <f>IF(D2="Energy &amp; Atmosphere", (I2 - H2) * 10, 0)</f>
        <v>0</v>
      </c>
      <c r="N2" s="2">
        <f>L2 - M2</f>
        <v>0</v>
      </c>
    </row>
    <row r="3" spans="1:14" x14ac:dyDescent="0.3">
      <c r="A3" t="s">
        <v>67</v>
      </c>
      <c r="B3" t="s">
        <v>68</v>
      </c>
      <c r="C3" t="s">
        <v>69</v>
      </c>
      <c r="D3" s="11" t="s">
        <v>37</v>
      </c>
      <c r="E3" s="13" t="s">
        <v>10</v>
      </c>
      <c r="F3" s="13" t="s">
        <v>17</v>
      </c>
      <c r="G3" s="13" t="s">
        <v>11</v>
      </c>
      <c r="H3" s="24">
        <v>0</v>
      </c>
      <c r="I3" s="23">
        <v>0</v>
      </c>
      <c r="J3" s="29">
        <f t="shared" ref="J3:J66" si="0">IF(I3=0, 0, H3/I3)</f>
        <v>0</v>
      </c>
      <c r="K3" t="str">
        <f t="shared" ref="K3:K66" si="1">IF(AND(H3=0,I3=0),"Prerequisite","Credit")</f>
        <v>Prerequisite</v>
      </c>
      <c r="L3" s="2">
        <f t="shared" ref="L3:L66" si="2">IF(AND(D3="MATERIAL AND RESOURCES", F3="Building life-cycle impact reduction"), H3 * 50, 0)</f>
        <v>0</v>
      </c>
      <c r="M3" s="2">
        <f t="shared" ref="M3:M66" si="3">IF(D3="Energy &amp; Atmosphere", (I3 - H3) * 10, 0)</f>
        <v>0</v>
      </c>
      <c r="N3" s="2">
        <f t="shared" ref="N3:N66" si="4">L3 - M3</f>
        <v>0</v>
      </c>
    </row>
    <row r="4" spans="1:14" x14ac:dyDescent="0.3">
      <c r="A4" t="s">
        <v>67</v>
      </c>
      <c r="B4" t="s">
        <v>68</v>
      </c>
      <c r="C4" t="s">
        <v>69</v>
      </c>
      <c r="D4" s="11" t="s">
        <v>37</v>
      </c>
      <c r="E4" s="13" t="s">
        <v>10</v>
      </c>
      <c r="F4" s="13" t="s">
        <v>18</v>
      </c>
      <c r="G4" s="13" t="s">
        <v>11</v>
      </c>
      <c r="H4" s="24">
        <v>0</v>
      </c>
      <c r="I4" s="23">
        <v>0</v>
      </c>
      <c r="J4" s="29">
        <f t="shared" si="0"/>
        <v>0</v>
      </c>
      <c r="K4" t="str">
        <f t="shared" si="1"/>
        <v>Prerequisite</v>
      </c>
      <c r="L4" s="2">
        <f t="shared" si="2"/>
        <v>0</v>
      </c>
      <c r="M4" s="2">
        <f t="shared" si="3"/>
        <v>0</v>
      </c>
      <c r="N4" s="2">
        <f t="shared" si="4"/>
        <v>0</v>
      </c>
    </row>
    <row r="5" spans="1:14" x14ac:dyDescent="0.3">
      <c r="A5" t="s">
        <v>67</v>
      </c>
      <c r="B5" t="s">
        <v>68</v>
      </c>
      <c r="C5" t="s">
        <v>69</v>
      </c>
      <c r="D5" s="11" t="s">
        <v>37</v>
      </c>
      <c r="E5" s="13" t="s">
        <v>10</v>
      </c>
      <c r="F5" s="13" t="s">
        <v>19</v>
      </c>
      <c r="G5" s="13" t="s">
        <v>11</v>
      </c>
      <c r="H5" s="24">
        <v>0</v>
      </c>
      <c r="I5" s="23">
        <v>0</v>
      </c>
      <c r="J5" s="29">
        <f t="shared" si="0"/>
        <v>0</v>
      </c>
      <c r="K5" t="str">
        <f t="shared" si="1"/>
        <v>Prerequisite</v>
      </c>
      <c r="L5" s="2">
        <f t="shared" si="2"/>
        <v>0</v>
      </c>
      <c r="M5" s="2">
        <f t="shared" si="3"/>
        <v>0</v>
      </c>
      <c r="N5" s="2">
        <f t="shared" si="4"/>
        <v>0</v>
      </c>
    </row>
    <row r="6" spans="1:14" x14ac:dyDescent="0.3">
      <c r="A6" t="s">
        <v>67</v>
      </c>
      <c r="B6" t="s">
        <v>68</v>
      </c>
      <c r="C6" t="s">
        <v>69</v>
      </c>
      <c r="D6" s="11" t="s">
        <v>37</v>
      </c>
      <c r="E6" s="13" t="s">
        <v>10</v>
      </c>
      <c r="F6" s="13" t="s">
        <v>20</v>
      </c>
      <c r="G6" s="13" t="s">
        <v>11</v>
      </c>
      <c r="H6" s="24">
        <v>0</v>
      </c>
      <c r="I6" s="23">
        <v>0</v>
      </c>
      <c r="J6" s="29">
        <f t="shared" si="0"/>
        <v>0</v>
      </c>
      <c r="K6" t="str">
        <f t="shared" si="1"/>
        <v>Prerequisite</v>
      </c>
      <c r="L6" s="2">
        <f t="shared" si="2"/>
        <v>0</v>
      </c>
      <c r="M6" s="2">
        <f t="shared" si="3"/>
        <v>0</v>
      </c>
      <c r="N6" s="2">
        <f t="shared" si="4"/>
        <v>0</v>
      </c>
    </row>
    <row r="7" spans="1:14" x14ac:dyDescent="0.3">
      <c r="A7" t="s">
        <v>67</v>
      </c>
      <c r="B7" t="s">
        <v>68</v>
      </c>
      <c r="C7" t="s">
        <v>69</v>
      </c>
      <c r="D7" s="11" t="s">
        <v>37</v>
      </c>
      <c r="E7" s="13" t="s">
        <v>12</v>
      </c>
      <c r="F7" s="13" t="s">
        <v>21</v>
      </c>
      <c r="G7" s="13" t="s">
        <v>50</v>
      </c>
      <c r="H7" s="24">
        <v>5</v>
      </c>
      <c r="I7" s="23">
        <v>6</v>
      </c>
      <c r="J7" s="29">
        <f t="shared" si="0"/>
        <v>0.83333333333333337</v>
      </c>
      <c r="K7" t="str">
        <f t="shared" si="1"/>
        <v>Credit</v>
      </c>
      <c r="L7" s="2">
        <f t="shared" si="2"/>
        <v>0</v>
      </c>
      <c r="M7" s="2">
        <f t="shared" si="3"/>
        <v>10</v>
      </c>
      <c r="N7" s="2">
        <f t="shared" si="4"/>
        <v>-10</v>
      </c>
    </row>
    <row r="8" spans="1:14" x14ac:dyDescent="0.3">
      <c r="A8" t="s">
        <v>67</v>
      </c>
      <c r="B8" t="s">
        <v>68</v>
      </c>
      <c r="C8" t="s">
        <v>69</v>
      </c>
      <c r="D8" s="11" t="s">
        <v>37</v>
      </c>
      <c r="E8" s="13" t="s">
        <v>12</v>
      </c>
      <c r="F8" s="13" t="s">
        <v>23</v>
      </c>
      <c r="G8" s="13" t="s">
        <v>14</v>
      </c>
      <c r="H8" s="24">
        <v>0</v>
      </c>
      <c r="I8" s="23">
        <v>1</v>
      </c>
      <c r="J8" s="29">
        <f t="shared" si="0"/>
        <v>0</v>
      </c>
      <c r="K8" t="str">
        <f t="shared" si="1"/>
        <v>Credit</v>
      </c>
      <c r="L8" s="2">
        <f t="shared" si="2"/>
        <v>0</v>
      </c>
      <c r="M8" s="2">
        <f t="shared" si="3"/>
        <v>10</v>
      </c>
      <c r="N8" s="2">
        <f t="shared" si="4"/>
        <v>-10</v>
      </c>
    </row>
    <row r="9" spans="1:14" x14ac:dyDescent="0.3">
      <c r="A9" t="s">
        <v>67</v>
      </c>
      <c r="B9" t="s">
        <v>68</v>
      </c>
      <c r="C9" t="s">
        <v>69</v>
      </c>
      <c r="D9" s="11" t="s">
        <v>37</v>
      </c>
      <c r="E9" s="13" t="s">
        <v>12</v>
      </c>
      <c r="F9" s="13" t="s">
        <v>24</v>
      </c>
      <c r="G9" s="13" t="s">
        <v>51</v>
      </c>
      <c r="H9" s="24">
        <v>1</v>
      </c>
      <c r="I9" s="23">
        <v>2</v>
      </c>
      <c r="J9" s="29">
        <f t="shared" si="0"/>
        <v>0.5</v>
      </c>
      <c r="K9" t="str">
        <f t="shared" si="1"/>
        <v>Credit</v>
      </c>
      <c r="L9" s="2">
        <f t="shared" si="2"/>
        <v>0</v>
      </c>
      <c r="M9" s="2">
        <f t="shared" si="3"/>
        <v>10</v>
      </c>
      <c r="N9" s="2">
        <f t="shared" si="4"/>
        <v>-10</v>
      </c>
    </row>
    <row r="10" spans="1:14" x14ac:dyDescent="0.3">
      <c r="A10" t="s">
        <v>67</v>
      </c>
      <c r="B10" t="s">
        <v>68</v>
      </c>
      <c r="C10" t="s">
        <v>69</v>
      </c>
      <c r="D10" s="11" t="s">
        <v>37</v>
      </c>
      <c r="E10" s="13" t="s">
        <v>12</v>
      </c>
      <c r="F10" s="13" t="s">
        <v>25</v>
      </c>
      <c r="G10" s="13" t="s">
        <v>52</v>
      </c>
      <c r="H10" s="24">
        <v>0</v>
      </c>
      <c r="I10" s="23">
        <v>3</v>
      </c>
      <c r="J10" s="29">
        <f t="shared" si="0"/>
        <v>0</v>
      </c>
      <c r="K10" t="str">
        <f t="shared" si="1"/>
        <v>Credit</v>
      </c>
      <c r="L10" s="2">
        <f t="shared" si="2"/>
        <v>0</v>
      </c>
      <c r="M10" s="2">
        <f t="shared" si="3"/>
        <v>30</v>
      </c>
      <c r="N10" s="2">
        <f t="shared" si="4"/>
        <v>-30</v>
      </c>
    </row>
    <row r="11" spans="1:14" x14ac:dyDescent="0.3">
      <c r="A11" t="s">
        <v>67</v>
      </c>
      <c r="B11" t="s">
        <v>68</v>
      </c>
      <c r="C11" t="s">
        <v>69</v>
      </c>
      <c r="D11" s="11" t="s">
        <v>37</v>
      </c>
      <c r="E11" s="13" t="s">
        <v>12</v>
      </c>
      <c r="F11" s="13" t="s">
        <v>27</v>
      </c>
      <c r="G11" s="13" t="s">
        <v>28</v>
      </c>
      <c r="H11" s="24">
        <v>1</v>
      </c>
      <c r="I11" s="23">
        <v>1</v>
      </c>
      <c r="J11" s="29">
        <f t="shared" si="0"/>
        <v>1</v>
      </c>
      <c r="K11" t="str">
        <f t="shared" si="1"/>
        <v>Credit</v>
      </c>
      <c r="L11" s="2">
        <f t="shared" si="2"/>
        <v>0</v>
      </c>
      <c r="M11" s="2">
        <f t="shared" si="3"/>
        <v>0</v>
      </c>
      <c r="N11" s="2">
        <f t="shared" si="4"/>
        <v>0</v>
      </c>
    </row>
    <row r="12" spans="1:14" x14ac:dyDescent="0.3">
      <c r="A12" t="s">
        <v>67</v>
      </c>
      <c r="B12" t="s">
        <v>68</v>
      </c>
      <c r="C12" t="s">
        <v>69</v>
      </c>
      <c r="D12" s="11" t="s">
        <v>37</v>
      </c>
      <c r="E12" s="13" t="s">
        <v>12</v>
      </c>
      <c r="F12" s="13" t="s">
        <v>29</v>
      </c>
      <c r="G12" s="13" t="s">
        <v>13</v>
      </c>
      <c r="H12" s="24">
        <v>0</v>
      </c>
      <c r="I12" s="23">
        <v>2</v>
      </c>
      <c r="J12" s="29">
        <f t="shared" si="0"/>
        <v>0</v>
      </c>
      <c r="K12" t="str">
        <f t="shared" si="1"/>
        <v>Credit</v>
      </c>
      <c r="L12" s="2">
        <f t="shared" si="2"/>
        <v>0</v>
      </c>
      <c r="M12" s="2">
        <f t="shared" si="3"/>
        <v>20</v>
      </c>
      <c r="N12" s="2">
        <f t="shared" si="4"/>
        <v>-20</v>
      </c>
    </row>
    <row r="13" spans="1:14" x14ac:dyDescent="0.3">
      <c r="A13" t="s">
        <v>67</v>
      </c>
      <c r="B13" t="s">
        <v>68</v>
      </c>
      <c r="C13" t="s">
        <v>69</v>
      </c>
      <c r="D13" s="11" t="s">
        <v>37</v>
      </c>
      <c r="E13" s="13" t="s">
        <v>12</v>
      </c>
      <c r="F13" s="13" t="s">
        <v>30</v>
      </c>
      <c r="G13" s="13" t="s">
        <v>31</v>
      </c>
      <c r="H13" s="24">
        <v>0</v>
      </c>
      <c r="I13" s="23">
        <v>20</v>
      </c>
      <c r="J13" s="29">
        <f t="shared" si="0"/>
        <v>0</v>
      </c>
      <c r="K13" t="str">
        <f t="shared" si="1"/>
        <v>Credit</v>
      </c>
      <c r="L13" s="2">
        <f t="shared" si="2"/>
        <v>0</v>
      </c>
      <c r="M13" s="2">
        <f t="shared" si="3"/>
        <v>200</v>
      </c>
      <c r="N13" s="2">
        <f t="shared" si="4"/>
        <v>-200</v>
      </c>
    </row>
    <row r="14" spans="1:14" x14ac:dyDescent="0.3">
      <c r="A14" t="s">
        <v>67</v>
      </c>
      <c r="B14" t="s">
        <v>68</v>
      </c>
      <c r="C14" t="s">
        <v>69</v>
      </c>
      <c r="D14" s="11" t="s">
        <v>37</v>
      </c>
      <c r="E14" s="13" t="s">
        <v>12</v>
      </c>
      <c r="F14" s="13" t="s">
        <v>32</v>
      </c>
      <c r="G14" s="13" t="s">
        <v>53</v>
      </c>
      <c r="H14" s="24">
        <v>12</v>
      </c>
      <c r="I14" s="23">
        <v>18</v>
      </c>
      <c r="J14" s="29">
        <f t="shared" si="0"/>
        <v>0.66666666666666663</v>
      </c>
      <c r="K14" t="str">
        <f t="shared" si="1"/>
        <v>Credit</v>
      </c>
      <c r="L14" s="2">
        <f t="shared" si="2"/>
        <v>0</v>
      </c>
      <c r="M14" s="2">
        <f t="shared" si="3"/>
        <v>60</v>
      </c>
      <c r="N14" s="2">
        <f t="shared" si="4"/>
        <v>-60</v>
      </c>
    </row>
    <row r="15" spans="1:14" x14ac:dyDescent="0.3">
      <c r="A15" t="s">
        <v>67</v>
      </c>
      <c r="B15" t="s">
        <v>68</v>
      </c>
      <c r="C15" t="s">
        <v>69</v>
      </c>
      <c r="D15" s="11" t="s">
        <v>37</v>
      </c>
      <c r="E15" s="13" t="s">
        <v>10</v>
      </c>
      <c r="F15" s="13" t="s">
        <v>34</v>
      </c>
      <c r="G15" s="13" t="s">
        <v>76</v>
      </c>
      <c r="H15" s="24">
        <v>0</v>
      </c>
      <c r="I15" s="23">
        <v>0</v>
      </c>
      <c r="J15" s="29">
        <f t="shared" si="0"/>
        <v>0</v>
      </c>
      <c r="K15" t="str">
        <f t="shared" si="1"/>
        <v>Prerequisite</v>
      </c>
      <c r="L15" s="2">
        <f t="shared" si="2"/>
        <v>0</v>
      </c>
      <c r="M15" s="2">
        <f t="shared" si="3"/>
        <v>0</v>
      </c>
      <c r="N15" s="2">
        <f t="shared" si="4"/>
        <v>0</v>
      </c>
    </row>
    <row r="16" spans="1:14" x14ac:dyDescent="0.3">
      <c r="A16" t="s">
        <v>67</v>
      </c>
      <c r="B16" t="s">
        <v>68</v>
      </c>
      <c r="C16" t="s">
        <v>69</v>
      </c>
      <c r="D16" s="11" t="s">
        <v>37</v>
      </c>
      <c r="E16" s="13" t="s">
        <v>10</v>
      </c>
      <c r="F16" s="13" t="s">
        <v>36</v>
      </c>
      <c r="G16" s="13" t="s">
        <v>76</v>
      </c>
      <c r="H16" s="24">
        <v>0</v>
      </c>
      <c r="I16" s="23">
        <v>0</v>
      </c>
      <c r="J16" s="29">
        <f t="shared" si="0"/>
        <v>0</v>
      </c>
      <c r="K16" t="str">
        <f t="shared" si="1"/>
        <v>Prerequisite</v>
      </c>
      <c r="L16" s="2">
        <f t="shared" si="2"/>
        <v>0</v>
      </c>
      <c r="M16" s="2">
        <f t="shared" si="3"/>
        <v>0</v>
      </c>
      <c r="N16" s="2">
        <f t="shared" si="4"/>
        <v>0</v>
      </c>
    </row>
    <row r="17" spans="1:14" x14ac:dyDescent="0.3">
      <c r="A17" t="s">
        <v>67</v>
      </c>
      <c r="B17" t="s">
        <v>68</v>
      </c>
      <c r="C17" t="s">
        <v>69</v>
      </c>
      <c r="D17" s="17" t="s">
        <v>48</v>
      </c>
      <c r="E17" s="15" t="s">
        <v>10</v>
      </c>
      <c r="F17" s="15" t="s">
        <v>38</v>
      </c>
      <c r="G17" s="15" t="s">
        <v>11</v>
      </c>
      <c r="H17" s="25">
        <v>0</v>
      </c>
      <c r="I17" s="23">
        <v>0</v>
      </c>
      <c r="J17" s="29">
        <f t="shared" si="0"/>
        <v>0</v>
      </c>
      <c r="K17" t="str">
        <f t="shared" si="1"/>
        <v>Prerequisite</v>
      </c>
      <c r="L17" s="2">
        <f t="shared" si="2"/>
        <v>0</v>
      </c>
      <c r="M17" s="2">
        <f t="shared" si="3"/>
        <v>0</v>
      </c>
      <c r="N17" s="2">
        <f t="shared" si="4"/>
        <v>0</v>
      </c>
    </row>
    <row r="18" spans="1:14" x14ac:dyDescent="0.3">
      <c r="A18" t="s">
        <v>67</v>
      </c>
      <c r="B18" t="s">
        <v>68</v>
      </c>
      <c r="C18" t="s">
        <v>69</v>
      </c>
      <c r="D18" s="17" t="s">
        <v>48</v>
      </c>
      <c r="E18" s="16" t="s">
        <v>10</v>
      </c>
      <c r="F18" s="16" t="s">
        <v>39</v>
      </c>
      <c r="G18" s="16" t="s">
        <v>11</v>
      </c>
      <c r="H18" s="26">
        <v>0</v>
      </c>
      <c r="I18" s="23">
        <v>0</v>
      </c>
      <c r="J18" s="29">
        <f t="shared" si="0"/>
        <v>0</v>
      </c>
      <c r="K18" t="str">
        <f t="shared" si="1"/>
        <v>Prerequisite</v>
      </c>
      <c r="L18" s="2">
        <f t="shared" si="2"/>
        <v>0</v>
      </c>
      <c r="M18" s="2">
        <f t="shared" si="3"/>
        <v>0</v>
      </c>
      <c r="N18" s="2">
        <f t="shared" si="4"/>
        <v>0</v>
      </c>
    </row>
    <row r="19" spans="1:14" x14ac:dyDescent="0.3">
      <c r="A19" t="s">
        <v>67</v>
      </c>
      <c r="B19" t="s">
        <v>68</v>
      </c>
      <c r="C19" t="s">
        <v>69</v>
      </c>
      <c r="D19" s="17" t="s">
        <v>48</v>
      </c>
      <c r="E19" s="16" t="s">
        <v>12</v>
      </c>
      <c r="F19" s="16" t="s">
        <v>40</v>
      </c>
      <c r="G19" s="16" t="s">
        <v>55</v>
      </c>
      <c r="H19" s="26">
        <v>2</v>
      </c>
      <c r="I19" s="23">
        <v>6</v>
      </c>
      <c r="J19" s="29">
        <f t="shared" si="0"/>
        <v>0.33333333333333331</v>
      </c>
      <c r="K19" t="str">
        <f t="shared" si="1"/>
        <v>Credit</v>
      </c>
      <c r="L19" s="2">
        <f t="shared" si="2"/>
        <v>100</v>
      </c>
      <c r="M19" s="2">
        <f t="shared" si="3"/>
        <v>0</v>
      </c>
      <c r="N19" s="2">
        <f t="shared" si="4"/>
        <v>100</v>
      </c>
    </row>
    <row r="20" spans="1:14" x14ac:dyDescent="0.3">
      <c r="A20" t="s">
        <v>67</v>
      </c>
      <c r="B20" t="s">
        <v>68</v>
      </c>
      <c r="C20" t="s">
        <v>69</v>
      </c>
      <c r="D20" s="17" t="s">
        <v>48</v>
      </c>
      <c r="E20" s="16" t="s">
        <v>12</v>
      </c>
      <c r="F20" s="16" t="s">
        <v>66</v>
      </c>
      <c r="G20" s="16" t="s">
        <v>51</v>
      </c>
      <c r="H20" s="26">
        <v>1</v>
      </c>
      <c r="I20" s="23">
        <v>2</v>
      </c>
      <c r="J20" s="29">
        <f t="shared" si="0"/>
        <v>0.5</v>
      </c>
      <c r="K20" t="str">
        <f t="shared" si="1"/>
        <v>Credit</v>
      </c>
      <c r="L20" s="2">
        <f t="shared" si="2"/>
        <v>0</v>
      </c>
      <c r="M20" s="2">
        <f t="shared" si="3"/>
        <v>0</v>
      </c>
      <c r="N20" s="2">
        <f t="shared" si="4"/>
        <v>0</v>
      </c>
    </row>
    <row r="21" spans="1:14" x14ac:dyDescent="0.3">
      <c r="A21" t="s">
        <v>67</v>
      </c>
      <c r="B21" t="s">
        <v>68</v>
      </c>
      <c r="C21" t="s">
        <v>69</v>
      </c>
      <c r="D21" s="17" t="s">
        <v>48</v>
      </c>
      <c r="E21" s="16" t="s">
        <v>12</v>
      </c>
      <c r="F21" s="16" t="s">
        <v>77</v>
      </c>
      <c r="G21" s="16" t="s">
        <v>51</v>
      </c>
      <c r="H21" s="26">
        <v>1</v>
      </c>
      <c r="I21" s="23">
        <v>2</v>
      </c>
      <c r="J21" s="29">
        <f t="shared" si="0"/>
        <v>0.5</v>
      </c>
      <c r="K21" t="str">
        <f t="shared" si="1"/>
        <v>Credit</v>
      </c>
      <c r="L21" s="2">
        <f t="shared" si="2"/>
        <v>0</v>
      </c>
      <c r="M21" s="2">
        <f t="shared" si="3"/>
        <v>0</v>
      </c>
      <c r="N21" s="2">
        <f t="shared" si="4"/>
        <v>0</v>
      </c>
    </row>
    <row r="22" spans="1:14" x14ac:dyDescent="0.3">
      <c r="A22" t="s">
        <v>67</v>
      </c>
      <c r="B22" t="s">
        <v>68</v>
      </c>
      <c r="C22" t="s">
        <v>69</v>
      </c>
      <c r="D22" s="17" t="s">
        <v>48</v>
      </c>
      <c r="E22" s="16" t="s">
        <v>12</v>
      </c>
      <c r="F22" s="16" t="s">
        <v>44</v>
      </c>
      <c r="G22" s="16" t="s">
        <v>46</v>
      </c>
      <c r="H22" s="26">
        <v>2</v>
      </c>
      <c r="I22" s="23">
        <v>2</v>
      </c>
      <c r="J22" s="29">
        <f t="shared" si="0"/>
        <v>1</v>
      </c>
      <c r="K22" t="str">
        <f t="shared" si="1"/>
        <v>Credit</v>
      </c>
      <c r="L22" s="2">
        <f t="shared" si="2"/>
        <v>0</v>
      </c>
      <c r="M22" s="2">
        <f t="shared" si="3"/>
        <v>0</v>
      </c>
      <c r="N22" s="2">
        <f t="shared" si="4"/>
        <v>0</v>
      </c>
    </row>
    <row r="23" spans="1:14" x14ac:dyDescent="0.3">
      <c r="A23" t="s">
        <v>67</v>
      </c>
      <c r="B23" t="s">
        <v>68</v>
      </c>
      <c r="C23" t="s">
        <v>69</v>
      </c>
      <c r="D23" s="17" t="s">
        <v>48</v>
      </c>
      <c r="E23" s="16" t="s">
        <v>12</v>
      </c>
      <c r="F23" s="16" t="s">
        <v>45</v>
      </c>
      <c r="G23" s="16" t="s">
        <v>46</v>
      </c>
      <c r="H23" s="26">
        <v>2</v>
      </c>
      <c r="I23" s="23">
        <v>2</v>
      </c>
      <c r="J23" s="29">
        <f t="shared" si="0"/>
        <v>1</v>
      </c>
      <c r="K23" t="str">
        <f t="shared" si="1"/>
        <v>Credit</v>
      </c>
      <c r="L23" s="2">
        <f t="shared" si="2"/>
        <v>0</v>
      </c>
      <c r="M23" s="2">
        <f t="shared" si="3"/>
        <v>0</v>
      </c>
      <c r="N23" s="2">
        <f t="shared" si="4"/>
        <v>0</v>
      </c>
    </row>
    <row r="24" spans="1:14" x14ac:dyDescent="0.3">
      <c r="A24" t="s">
        <v>70</v>
      </c>
      <c r="B24" t="s">
        <v>71</v>
      </c>
      <c r="C24" t="s">
        <v>72</v>
      </c>
      <c r="D24" s="18" t="s">
        <v>37</v>
      </c>
      <c r="E24" s="5" t="s">
        <v>10</v>
      </c>
      <c r="F24" s="13" t="s">
        <v>16</v>
      </c>
      <c r="G24" s="5" t="s">
        <v>11</v>
      </c>
      <c r="H24" s="27">
        <v>0</v>
      </c>
      <c r="I24" s="28">
        <v>0</v>
      </c>
      <c r="J24" s="29">
        <f t="shared" si="0"/>
        <v>0</v>
      </c>
      <c r="K24" t="str">
        <f t="shared" si="1"/>
        <v>Prerequisite</v>
      </c>
      <c r="L24" s="2">
        <f t="shared" si="2"/>
        <v>0</v>
      </c>
      <c r="M24" s="2">
        <f t="shared" si="3"/>
        <v>0</v>
      </c>
      <c r="N24" s="2">
        <f t="shared" si="4"/>
        <v>0</v>
      </c>
    </row>
    <row r="25" spans="1:14" x14ac:dyDescent="0.3">
      <c r="A25" t="s">
        <v>70</v>
      </c>
      <c r="B25" t="s">
        <v>71</v>
      </c>
      <c r="C25" t="s">
        <v>72</v>
      </c>
      <c r="D25" s="18" t="s">
        <v>37</v>
      </c>
      <c r="E25" s="5" t="s">
        <v>10</v>
      </c>
      <c r="F25" s="13" t="s">
        <v>17</v>
      </c>
      <c r="G25" s="5" t="s">
        <v>11</v>
      </c>
      <c r="H25" s="27">
        <v>0</v>
      </c>
      <c r="I25" s="28">
        <v>0</v>
      </c>
      <c r="J25" s="29">
        <f t="shared" si="0"/>
        <v>0</v>
      </c>
      <c r="K25" t="str">
        <f t="shared" si="1"/>
        <v>Prerequisite</v>
      </c>
      <c r="L25" s="2">
        <f t="shared" si="2"/>
        <v>0</v>
      </c>
      <c r="M25" s="2">
        <f t="shared" si="3"/>
        <v>0</v>
      </c>
      <c r="N25" s="2">
        <f t="shared" si="4"/>
        <v>0</v>
      </c>
    </row>
    <row r="26" spans="1:14" x14ac:dyDescent="0.3">
      <c r="A26" t="s">
        <v>70</v>
      </c>
      <c r="B26" t="s">
        <v>71</v>
      </c>
      <c r="C26" t="s">
        <v>72</v>
      </c>
      <c r="D26" s="18" t="s">
        <v>37</v>
      </c>
      <c r="E26" s="5" t="s">
        <v>10</v>
      </c>
      <c r="F26" s="13" t="s">
        <v>18</v>
      </c>
      <c r="G26" s="5" t="s">
        <v>11</v>
      </c>
      <c r="H26" s="27">
        <v>0</v>
      </c>
      <c r="I26" s="28">
        <v>0</v>
      </c>
      <c r="J26" s="29">
        <f t="shared" si="0"/>
        <v>0</v>
      </c>
      <c r="K26" t="str">
        <f t="shared" si="1"/>
        <v>Prerequisite</v>
      </c>
      <c r="L26" s="2">
        <f t="shared" si="2"/>
        <v>0</v>
      </c>
      <c r="M26" s="2">
        <f t="shared" si="3"/>
        <v>0</v>
      </c>
      <c r="N26" s="2">
        <f t="shared" si="4"/>
        <v>0</v>
      </c>
    </row>
    <row r="27" spans="1:14" x14ac:dyDescent="0.3">
      <c r="A27" t="s">
        <v>70</v>
      </c>
      <c r="B27" t="s">
        <v>71</v>
      </c>
      <c r="C27" t="s">
        <v>72</v>
      </c>
      <c r="D27" s="18" t="s">
        <v>37</v>
      </c>
      <c r="E27" s="5" t="s">
        <v>10</v>
      </c>
      <c r="F27" s="13" t="s">
        <v>19</v>
      </c>
      <c r="G27" s="5" t="s">
        <v>11</v>
      </c>
      <c r="H27" s="27">
        <v>0</v>
      </c>
      <c r="I27" s="28">
        <v>0</v>
      </c>
      <c r="J27" s="29">
        <f t="shared" si="0"/>
        <v>0</v>
      </c>
      <c r="K27" t="str">
        <f t="shared" si="1"/>
        <v>Prerequisite</v>
      </c>
      <c r="L27" s="2">
        <f t="shared" si="2"/>
        <v>0</v>
      </c>
      <c r="M27" s="2">
        <f t="shared" si="3"/>
        <v>0</v>
      </c>
      <c r="N27" s="2">
        <f t="shared" si="4"/>
        <v>0</v>
      </c>
    </row>
    <row r="28" spans="1:14" x14ac:dyDescent="0.3">
      <c r="A28" t="s">
        <v>70</v>
      </c>
      <c r="B28" t="s">
        <v>71</v>
      </c>
      <c r="C28" t="s">
        <v>72</v>
      </c>
      <c r="D28" s="18" t="s">
        <v>37</v>
      </c>
      <c r="E28" s="5" t="s">
        <v>10</v>
      </c>
      <c r="F28" s="13" t="s">
        <v>20</v>
      </c>
      <c r="G28" s="5" t="s">
        <v>11</v>
      </c>
      <c r="H28" s="27">
        <v>0</v>
      </c>
      <c r="I28" s="28">
        <v>0</v>
      </c>
      <c r="J28" s="29">
        <f t="shared" si="0"/>
        <v>0</v>
      </c>
      <c r="K28" t="str">
        <f t="shared" si="1"/>
        <v>Prerequisite</v>
      </c>
      <c r="L28" s="2">
        <f t="shared" si="2"/>
        <v>0</v>
      </c>
      <c r="M28" s="2">
        <f t="shared" si="3"/>
        <v>0</v>
      </c>
      <c r="N28" s="2">
        <f t="shared" si="4"/>
        <v>0</v>
      </c>
    </row>
    <row r="29" spans="1:14" x14ac:dyDescent="0.3">
      <c r="A29" t="s">
        <v>70</v>
      </c>
      <c r="B29" t="s">
        <v>71</v>
      </c>
      <c r="C29" t="s">
        <v>72</v>
      </c>
      <c r="D29" s="18" t="s">
        <v>37</v>
      </c>
      <c r="E29" s="5" t="s">
        <v>12</v>
      </c>
      <c r="F29" s="13" t="s">
        <v>21</v>
      </c>
      <c r="G29" s="5" t="s">
        <v>22</v>
      </c>
      <c r="H29" s="27">
        <v>0</v>
      </c>
      <c r="I29" s="28">
        <v>6</v>
      </c>
      <c r="J29" s="29">
        <f t="shared" si="0"/>
        <v>0</v>
      </c>
      <c r="K29" t="str">
        <f t="shared" si="1"/>
        <v>Credit</v>
      </c>
      <c r="L29" s="2">
        <f t="shared" si="2"/>
        <v>0</v>
      </c>
      <c r="M29" s="2">
        <f t="shared" si="3"/>
        <v>60</v>
      </c>
      <c r="N29" s="2">
        <f t="shared" si="4"/>
        <v>-60</v>
      </c>
    </row>
    <row r="30" spans="1:14" x14ac:dyDescent="0.3">
      <c r="A30" t="s">
        <v>70</v>
      </c>
      <c r="B30" t="s">
        <v>71</v>
      </c>
      <c r="C30" t="s">
        <v>72</v>
      </c>
      <c r="D30" s="18" t="s">
        <v>37</v>
      </c>
      <c r="E30" s="5" t="s">
        <v>12</v>
      </c>
      <c r="F30" s="13" t="s">
        <v>23</v>
      </c>
      <c r="G30" s="5" t="s">
        <v>14</v>
      </c>
      <c r="H30" s="27">
        <v>0</v>
      </c>
      <c r="I30" s="28">
        <v>1</v>
      </c>
      <c r="J30" s="29">
        <f t="shared" si="0"/>
        <v>0</v>
      </c>
      <c r="K30" t="str">
        <f t="shared" si="1"/>
        <v>Credit</v>
      </c>
      <c r="L30" s="2">
        <f t="shared" si="2"/>
        <v>0</v>
      </c>
      <c r="M30" s="2">
        <f t="shared" si="3"/>
        <v>10</v>
      </c>
      <c r="N30" s="2">
        <f t="shared" si="4"/>
        <v>-10</v>
      </c>
    </row>
    <row r="31" spans="1:14" x14ac:dyDescent="0.3">
      <c r="A31" t="s">
        <v>70</v>
      </c>
      <c r="B31" t="s">
        <v>71</v>
      </c>
      <c r="C31" t="s">
        <v>72</v>
      </c>
      <c r="D31" s="18" t="s">
        <v>37</v>
      </c>
      <c r="E31" s="5" t="s">
        <v>12</v>
      </c>
      <c r="F31" s="13" t="s">
        <v>24</v>
      </c>
      <c r="G31" s="5" t="s">
        <v>13</v>
      </c>
      <c r="H31" s="27">
        <v>0</v>
      </c>
      <c r="I31" s="28">
        <v>2</v>
      </c>
      <c r="J31" s="29">
        <f t="shared" si="0"/>
        <v>0</v>
      </c>
      <c r="K31" t="str">
        <f t="shared" si="1"/>
        <v>Credit</v>
      </c>
      <c r="L31" s="2">
        <f t="shared" si="2"/>
        <v>0</v>
      </c>
      <c r="M31" s="2">
        <f t="shared" si="3"/>
        <v>20</v>
      </c>
      <c r="N31" s="2">
        <f t="shared" si="4"/>
        <v>-20</v>
      </c>
    </row>
    <row r="32" spans="1:14" x14ac:dyDescent="0.3">
      <c r="A32" t="s">
        <v>70</v>
      </c>
      <c r="B32" t="s">
        <v>71</v>
      </c>
      <c r="C32" t="s">
        <v>72</v>
      </c>
      <c r="D32" s="18" t="s">
        <v>37</v>
      </c>
      <c r="E32" s="5" t="s">
        <v>12</v>
      </c>
      <c r="F32" s="13" t="s">
        <v>25</v>
      </c>
      <c r="G32" s="5" t="s">
        <v>26</v>
      </c>
      <c r="H32" s="27">
        <v>2</v>
      </c>
      <c r="I32" s="28">
        <v>3</v>
      </c>
      <c r="J32" s="29">
        <f t="shared" si="0"/>
        <v>0.66666666666666663</v>
      </c>
      <c r="K32" t="str">
        <f t="shared" si="1"/>
        <v>Credit</v>
      </c>
      <c r="L32" s="2">
        <f t="shared" si="2"/>
        <v>0</v>
      </c>
      <c r="M32" s="2">
        <f t="shared" si="3"/>
        <v>10</v>
      </c>
      <c r="N32" s="2">
        <f t="shared" si="4"/>
        <v>-10</v>
      </c>
    </row>
    <row r="33" spans="1:14" x14ac:dyDescent="0.3">
      <c r="A33" t="s">
        <v>70</v>
      </c>
      <c r="B33" t="s">
        <v>71</v>
      </c>
      <c r="C33" t="s">
        <v>72</v>
      </c>
      <c r="D33" s="18" t="s">
        <v>37</v>
      </c>
      <c r="E33" s="5" t="s">
        <v>12</v>
      </c>
      <c r="F33" s="13" t="s">
        <v>27</v>
      </c>
      <c r="G33" s="5" t="s">
        <v>28</v>
      </c>
      <c r="H33" s="27">
        <v>1</v>
      </c>
      <c r="I33" s="28">
        <v>1</v>
      </c>
      <c r="J33" s="29">
        <f t="shared" si="0"/>
        <v>1</v>
      </c>
      <c r="K33" t="str">
        <f t="shared" si="1"/>
        <v>Credit</v>
      </c>
      <c r="L33" s="2">
        <f t="shared" si="2"/>
        <v>0</v>
      </c>
      <c r="M33" s="2">
        <f t="shared" si="3"/>
        <v>0</v>
      </c>
      <c r="N33" s="2">
        <f t="shared" si="4"/>
        <v>0</v>
      </c>
    </row>
    <row r="34" spans="1:14" x14ac:dyDescent="0.3">
      <c r="A34" t="s">
        <v>70</v>
      </c>
      <c r="B34" t="s">
        <v>71</v>
      </c>
      <c r="C34" t="s">
        <v>72</v>
      </c>
      <c r="D34" s="18" t="s">
        <v>37</v>
      </c>
      <c r="E34" s="5" t="s">
        <v>12</v>
      </c>
      <c r="F34" s="13" t="s">
        <v>29</v>
      </c>
      <c r="G34" s="5" t="s">
        <v>13</v>
      </c>
      <c r="H34" s="27">
        <v>0</v>
      </c>
      <c r="I34" s="28">
        <v>2</v>
      </c>
      <c r="J34" s="29">
        <f t="shared" si="0"/>
        <v>0</v>
      </c>
      <c r="K34" t="str">
        <f t="shared" si="1"/>
        <v>Credit</v>
      </c>
      <c r="L34" s="2">
        <f t="shared" si="2"/>
        <v>0</v>
      </c>
      <c r="M34" s="2">
        <f t="shared" si="3"/>
        <v>20</v>
      </c>
      <c r="N34" s="2">
        <f t="shared" si="4"/>
        <v>-20</v>
      </c>
    </row>
    <row r="35" spans="1:14" x14ac:dyDescent="0.3">
      <c r="A35" t="s">
        <v>70</v>
      </c>
      <c r="B35" t="s">
        <v>71</v>
      </c>
      <c r="C35" t="s">
        <v>72</v>
      </c>
      <c r="D35" s="18" t="s">
        <v>37</v>
      </c>
      <c r="E35" s="5" t="s">
        <v>12</v>
      </c>
      <c r="F35" s="13" t="s">
        <v>30</v>
      </c>
      <c r="G35" s="5" t="s">
        <v>31</v>
      </c>
      <c r="H35" s="27">
        <v>0</v>
      </c>
      <c r="I35" s="28">
        <v>20</v>
      </c>
      <c r="J35" s="29">
        <f t="shared" si="0"/>
        <v>0</v>
      </c>
      <c r="K35" t="str">
        <f t="shared" si="1"/>
        <v>Credit</v>
      </c>
      <c r="L35" s="2">
        <f t="shared" si="2"/>
        <v>0</v>
      </c>
      <c r="M35" s="2">
        <f t="shared" si="3"/>
        <v>200</v>
      </c>
      <c r="N35" s="2">
        <f t="shared" si="4"/>
        <v>-200</v>
      </c>
    </row>
    <row r="36" spans="1:14" x14ac:dyDescent="0.3">
      <c r="A36" t="s">
        <v>70</v>
      </c>
      <c r="B36" t="s">
        <v>71</v>
      </c>
      <c r="C36" t="s">
        <v>72</v>
      </c>
      <c r="D36" s="18" t="s">
        <v>37</v>
      </c>
      <c r="E36" s="5" t="s">
        <v>12</v>
      </c>
      <c r="F36" s="13" t="s">
        <v>32</v>
      </c>
      <c r="G36" s="5" t="s">
        <v>33</v>
      </c>
      <c r="H36" s="27">
        <v>14</v>
      </c>
      <c r="I36" s="28">
        <v>18</v>
      </c>
      <c r="J36" s="29">
        <f t="shared" si="0"/>
        <v>0.77777777777777779</v>
      </c>
      <c r="K36" t="str">
        <f t="shared" si="1"/>
        <v>Credit</v>
      </c>
      <c r="L36" s="2">
        <f t="shared" si="2"/>
        <v>0</v>
      </c>
      <c r="M36" s="2">
        <f t="shared" si="3"/>
        <v>40</v>
      </c>
      <c r="N36" s="2">
        <f t="shared" si="4"/>
        <v>-40</v>
      </c>
    </row>
    <row r="37" spans="1:14" x14ac:dyDescent="0.3">
      <c r="A37" t="s">
        <v>70</v>
      </c>
      <c r="B37" t="s">
        <v>71</v>
      </c>
      <c r="C37" t="s">
        <v>72</v>
      </c>
      <c r="D37" s="18" t="s">
        <v>37</v>
      </c>
      <c r="E37" s="5" t="s">
        <v>10</v>
      </c>
      <c r="F37" s="13" t="s">
        <v>34</v>
      </c>
      <c r="G37" s="5" t="s">
        <v>76</v>
      </c>
      <c r="H37" s="27">
        <v>0</v>
      </c>
      <c r="I37" s="28">
        <v>0</v>
      </c>
      <c r="J37" s="29">
        <f t="shared" si="0"/>
        <v>0</v>
      </c>
      <c r="K37" t="str">
        <f t="shared" si="1"/>
        <v>Prerequisite</v>
      </c>
      <c r="L37" s="2">
        <f t="shared" si="2"/>
        <v>0</v>
      </c>
      <c r="M37" s="2">
        <f t="shared" si="3"/>
        <v>0</v>
      </c>
      <c r="N37" s="2">
        <f t="shared" si="4"/>
        <v>0</v>
      </c>
    </row>
    <row r="38" spans="1:14" x14ac:dyDescent="0.3">
      <c r="A38" t="s">
        <v>70</v>
      </c>
      <c r="B38" t="s">
        <v>71</v>
      </c>
      <c r="C38" t="s">
        <v>72</v>
      </c>
      <c r="D38" s="18" t="s">
        <v>37</v>
      </c>
      <c r="E38" s="5" t="s">
        <v>10</v>
      </c>
      <c r="F38" s="13" t="s">
        <v>36</v>
      </c>
      <c r="G38" s="5" t="s">
        <v>76</v>
      </c>
      <c r="H38" s="27">
        <v>0</v>
      </c>
      <c r="I38" s="28">
        <v>0</v>
      </c>
      <c r="J38" s="29">
        <f t="shared" si="0"/>
        <v>0</v>
      </c>
      <c r="K38" t="str">
        <f t="shared" si="1"/>
        <v>Prerequisite</v>
      </c>
      <c r="L38" s="2">
        <f t="shared" si="2"/>
        <v>0</v>
      </c>
      <c r="M38" s="2">
        <f t="shared" si="3"/>
        <v>0</v>
      </c>
      <c r="N38" s="2">
        <f t="shared" si="4"/>
        <v>0</v>
      </c>
    </row>
    <row r="39" spans="1:14" x14ac:dyDescent="0.3">
      <c r="A39" t="s">
        <v>70</v>
      </c>
      <c r="B39" t="s">
        <v>71</v>
      </c>
      <c r="C39" t="s">
        <v>72</v>
      </c>
      <c r="D39" s="17" t="s">
        <v>48</v>
      </c>
      <c r="E39" s="16" t="s">
        <v>10</v>
      </c>
      <c r="F39" s="16" t="s">
        <v>38</v>
      </c>
      <c r="G39" s="16" t="s">
        <v>11</v>
      </c>
      <c r="H39" s="26">
        <v>0</v>
      </c>
      <c r="I39" s="23">
        <v>0</v>
      </c>
      <c r="J39" s="29">
        <f t="shared" si="0"/>
        <v>0</v>
      </c>
      <c r="K39" t="str">
        <f t="shared" si="1"/>
        <v>Prerequisite</v>
      </c>
      <c r="L39" s="2">
        <f t="shared" si="2"/>
        <v>0</v>
      </c>
      <c r="M39" s="2">
        <f t="shared" si="3"/>
        <v>0</v>
      </c>
      <c r="N39" s="2">
        <f t="shared" si="4"/>
        <v>0</v>
      </c>
    </row>
    <row r="40" spans="1:14" x14ac:dyDescent="0.3">
      <c r="A40" t="s">
        <v>70</v>
      </c>
      <c r="B40" t="s">
        <v>71</v>
      </c>
      <c r="C40" t="s">
        <v>72</v>
      </c>
      <c r="D40" s="17" t="s">
        <v>48</v>
      </c>
      <c r="E40" s="16" t="s">
        <v>10</v>
      </c>
      <c r="F40" s="16" t="s">
        <v>39</v>
      </c>
      <c r="G40" s="16" t="s">
        <v>11</v>
      </c>
      <c r="H40" s="26">
        <v>0</v>
      </c>
      <c r="I40" s="23">
        <v>0</v>
      </c>
      <c r="J40" s="29">
        <f t="shared" si="0"/>
        <v>0</v>
      </c>
      <c r="K40" t="str">
        <f t="shared" si="1"/>
        <v>Prerequisite</v>
      </c>
      <c r="L40" s="2">
        <f t="shared" si="2"/>
        <v>0</v>
      </c>
      <c r="M40" s="2">
        <f t="shared" si="3"/>
        <v>0</v>
      </c>
      <c r="N40" s="2">
        <f t="shared" si="4"/>
        <v>0</v>
      </c>
    </row>
    <row r="41" spans="1:14" x14ac:dyDescent="0.3">
      <c r="A41" t="s">
        <v>70</v>
      </c>
      <c r="B41" t="s">
        <v>71</v>
      </c>
      <c r="C41" t="s">
        <v>72</v>
      </c>
      <c r="D41" s="17" t="s">
        <v>48</v>
      </c>
      <c r="E41" s="16" t="s">
        <v>12</v>
      </c>
      <c r="F41" s="16" t="s">
        <v>40</v>
      </c>
      <c r="G41" s="16" t="s">
        <v>41</v>
      </c>
      <c r="H41" s="26">
        <v>0</v>
      </c>
      <c r="I41" s="23">
        <v>5</v>
      </c>
      <c r="J41" s="29">
        <f t="shared" si="0"/>
        <v>0</v>
      </c>
      <c r="K41" t="str">
        <f t="shared" si="1"/>
        <v>Credit</v>
      </c>
      <c r="L41" s="2">
        <f t="shared" si="2"/>
        <v>0</v>
      </c>
      <c r="M41" s="2">
        <f t="shared" si="3"/>
        <v>0</v>
      </c>
      <c r="N41" s="2">
        <f t="shared" si="4"/>
        <v>0</v>
      </c>
    </row>
    <row r="42" spans="1:14" x14ac:dyDescent="0.3">
      <c r="A42" t="s">
        <v>70</v>
      </c>
      <c r="B42" t="s">
        <v>71</v>
      </c>
      <c r="C42" t="s">
        <v>72</v>
      </c>
      <c r="D42" s="17" t="s">
        <v>48</v>
      </c>
      <c r="E42" s="16" t="s">
        <v>12</v>
      </c>
      <c r="F42" s="16" t="s">
        <v>66</v>
      </c>
      <c r="G42" s="16" t="s">
        <v>13</v>
      </c>
      <c r="H42" s="26">
        <v>0</v>
      </c>
      <c r="I42" s="23">
        <v>2</v>
      </c>
      <c r="J42" s="29">
        <f t="shared" si="0"/>
        <v>0</v>
      </c>
      <c r="K42" t="str">
        <f t="shared" si="1"/>
        <v>Credit</v>
      </c>
      <c r="L42" s="2">
        <f t="shared" si="2"/>
        <v>0</v>
      </c>
      <c r="M42" s="2">
        <f t="shared" si="3"/>
        <v>0</v>
      </c>
      <c r="N42" s="2">
        <f t="shared" si="4"/>
        <v>0</v>
      </c>
    </row>
    <row r="43" spans="1:14" x14ac:dyDescent="0.3">
      <c r="A43" t="s">
        <v>70</v>
      </c>
      <c r="B43" t="s">
        <v>71</v>
      </c>
      <c r="C43" t="s">
        <v>72</v>
      </c>
      <c r="D43" s="17" t="s">
        <v>48</v>
      </c>
      <c r="E43" s="16" t="s">
        <v>12</v>
      </c>
      <c r="F43" s="16" t="s">
        <v>77</v>
      </c>
      <c r="G43" s="16" t="s">
        <v>13</v>
      </c>
      <c r="H43" s="26">
        <v>0</v>
      </c>
      <c r="I43" s="23">
        <v>2</v>
      </c>
      <c r="J43" s="29">
        <f t="shared" si="0"/>
        <v>0</v>
      </c>
      <c r="K43" t="str">
        <f t="shared" si="1"/>
        <v>Credit</v>
      </c>
      <c r="L43" s="2">
        <f t="shared" si="2"/>
        <v>0</v>
      </c>
      <c r="M43" s="2">
        <f t="shared" si="3"/>
        <v>0</v>
      </c>
      <c r="N43" s="2">
        <f t="shared" si="4"/>
        <v>0</v>
      </c>
    </row>
    <row r="44" spans="1:14" x14ac:dyDescent="0.3">
      <c r="A44" t="s">
        <v>70</v>
      </c>
      <c r="B44" t="s">
        <v>71</v>
      </c>
      <c r="C44" t="s">
        <v>72</v>
      </c>
      <c r="D44" s="17" t="s">
        <v>48</v>
      </c>
      <c r="E44" s="16" t="s">
        <v>12</v>
      </c>
      <c r="F44" s="16" t="s">
        <v>44</v>
      </c>
      <c r="G44" s="16" t="s">
        <v>13</v>
      </c>
      <c r="H44" s="26">
        <v>0</v>
      </c>
      <c r="I44" s="23">
        <v>2</v>
      </c>
      <c r="J44" s="29">
        <f t="shared" si="0"/>
        <v>0</v>
      </c>
      <c r="K44" t="str">
        <f t="shared" si="1"/>
        <v>Credit</v>
      </c>
      <c r="L44" s="2">
        <f t="shared" si="2"/>
        <v>0</v>
      </c>
      <c r="M44" s="2">
        <f t="shared" si="3"/>
        <v>0</v>
      </c>
      <c r="N44" s="2">
        <f t="shared" si="4"/>
        <v>0</v>
      </c>
    </row>
    <row r="45" spans="1:14" x14ac:dyDescent="0.3">
      <c r="A45" t="s">
        <v>70</v>
      </c>
      <c r="B45" t="s">
        <v>71</v>
      </c>
      <c r="C45" t="s">
        <v>72</v>
      </c>
      <c r="D45" s="17" t="s">
        <v>48</v>
      </c>
      <c r="E45" s="16" t="s">
        <v>12</v>
      </c>
      <c r="F45" s="16" t="s">
        <v>45</v>
      </c>
      <c r="G45" s="16" t="s">
        <v>11</v>
      </c>
      <c r="H45" s="26">
        <v>0</v>
      </c>
      <c r="I45" s="23">
        <v>0</v>
      </c>
      <c r="J45" s="29">
        <f t="shared" si="0"/>
        <v>0</v>
      </c>
      <c r="K45" t="str">
        <f t="shared" si="1"/>
        <v>Prerequisite</v>
      </c>
      <c r="L45" s="2">
        <f t="shared" si="2"/>
        <v>0</v>
      </c>
      <c r="M45" s="2">
        <f t="shared" si="3"/>
        <v>0</v>
      </c>
      <c r="N45" s="2">
        <f t="shared" si="4"/>
        <v>0</v>
      </c>
    </row>
    <row r="46" spans="1:14" x14ac:dyDescent="0.3">
      <c r="A46" t="s">
        <v>73</v>
      </c>
      <c r="B46" t="s">
        <v>68</v>
      </c>
      <c r="C46" t="s">
        <v>74</v>
      </c>
      <c r="D46" s="10" t="s">
        <v>37</v>
      </c>
      <c r="E46" s="13" t="s">
        <v>10</v>
      </c>
      <c r="F46" s="13" t="s">
        <v>16</v>
      </c>
      <c r="G46" s="13" t="s">
        <v>11</v>
      </c>
      <c r="H46" s="24">
        <v>0</v>
      </c>
      <c r="I46" s="23">
        <v>0</v>
      </c>
      <c r="J46" s="29">
        <f t="shared" si="0"/>
        <v>0</v>
      </c>
      <c r="K46" t="str">
        <f t="shared" si="1"/>
        <v>Prerequisite</v>
      </c>
      <c r="L46" s="2">
        <f t="shared" si="2"/>
        <v>0</v>
      </c>
      <c r="M46" s="2">
        <f t="shared" si="3"/>
        <v>0</v>
      </c>
      <c r="N46" s="2">
        <f t="shared" si="4"/>
        <v>0</v>
      </c>
    </row>
    <row r="47" spans="1:14" x14ac:dyDescent="0.3">
      <c r="A47" t="s">
        <v>73</v>
      </c>
      <c r="B47" t="s">
        <v>68</v>
      </c>
      <c r="C47" t="s">
        <v>74</v>
      </c>
      <c r="D47" s="10" t="s">
        <v>37</v>
      </c>
      <c r="E47" s="13" t="s">
        <v>10</v>
      </c>
      <c r="F47" s="13" t="s">
        <v>17</v>
      </c>
      <c r="G47" s="13" t="s">
        <v>11</v>
      </c>
      <c r="H47" s="24">
        <v>0</v>
      </c>
      <c r="I47" s="23">
        <v>0</v>
      </c>
      <c r="J47" s="29">
        <f t="shared" si="0"/>
        <v>0</v>
      </c>
      <c r="K47" t="str">
        <f t="shared" si="1"/>
        <v>Prerequisite</v>
      </c>
      <c r="L47" s="2">
        <f t="shared" si="2"/>
        <v>0</v>
      </c>
      <c r="M47" s="2">
        <f t="shared" si="3"/>
        <v>0</v>
      </c>
      <c r="N47" s="2">
        <f t="shared" si="4"/>
        <v>0</v>
      </c>
    </row>
    <row r="48" spans="1:14" x14ac:dyDescent="0.3">
      <c r="A48" t="s">
        <v>73</v>
      </c>
      <c r="B48" t="s">
        <v>68</v>
      </c>
      <c r="C48" t="s">
        <v>74</v>
      </c>
      <c r="D48" s="10" t="s">
        <v>37</v>
      </c>
      <c r="E48" s="13" t="s">
        <v>10</v>
      </c>
      <c r="F48" s="13" t="s">
        <v>18</v>
      </c>
      <c r="G48" s="13" t="s">
        <v>11</v>
      </c>
      <c r="H48" s="24">
        <v>0</v>
      </c>
      <c r="I48" s="23">
        <v>0</v>
      </c>
      <c r="J48" s="29">
        <f t="shared" si="0"/>
        <v>0</v>
      </c>
      <c r="K48" t="str">
        <f t="shared" si="1"/>
        <v>Prerequisite</v>
      </c>
      <c r="L48" s="2">
        <f t="shared" si="2"/>
        <v>0</v>
      </c>
      <c r="M48" s="2">
        <f t="shared" si="3"/>
        <v>0</v>
      </c>
      <c r="N48" s="2">
        <f t="shared" si="4"/>
        <v>0</v>
      </c>
    </row>
    <row r="49" spans="1:14" x14ac:dyDescent="0.3">
      <c r="A49" t="s">
        <v>73</v>
      </c>
      <c r="B49" t="s">
        <v>68</v>
      </c>
      <c r="C49" t="s">
        <v>74</v>
      </c>
      <c r="D49" s="10" t="s">
        <v>37</v>
      </c>
      <c r="E49" s="13" t="s">
        <v>10</v>
      </c>
      <c r="F49" s="13" t="s">
        <v>19</v>
      </c>
      <c r="G49" s="13" t="s">
        <v>11</v>
      </c>
      <c r="H49" s="24">
        <v>0</v>
      </c>
      <c r="I49" s="23">
        <v>0</v>
      </c>
      <c r="J49" s="29">
        <f t="shared" si="0"/>
        <v>0</v>
      </c>
      <c r="K49" t="str">
        <f t="shared" si="1"/>
        <v>Prerequisite</v>
      </c>
      <c r="L49" s="2">
        <f t="shared" si="2"/>
        <v>0</v>
      </c>
      <c r="M49" s="2">
        <f t="shared" si="3"/>
        <v>0</v>
      </c>
      <c r="N49" s="2">
        <f t="shared" si="4"/>
        <v>0</v>
      </c>
    </row>
    <row r="50" spans="1:14" x14ac:dyDescent="0.3">
      <c r="A50" t="s">
        <v>73</v>
      </c>
      <c r="B50" t="s">
        <v>68</v>
      </c>
      <c r="C50" t="s">
        <v>74</v>
      </c>
      <c r="D50" s="10" t="s">
        <v>37</v>
      </c>
      <c r="E50" s="13" t="s">
        <v>10</v>
      </c>
      <c r="F50" s="13" t="s">
        <v>20</v>
      </c>
      <c r="G50" s="13" t="s">
        <v>11</v>
      </c>
      <c r="H50" s="24">
        <v>0</v>
      </c>
      <c r="I50" s="23">
        <v>0</v>
      </c>
      <c r="J50" s="29">
        <f t="shared" si="0"/>
        <v>0</v>
      </c>
      <c r="K50" t="str">
        <f t="shared" si="1"/>
        <v>Prerequisite</v>
      </c>
      <c r="L50" s="2">
        <f t="shared" si="2"/>
        <v>0</v>
      </c>
      <c r="M50" s="2">
        <f t="shared" si="3"/>
        <v>0</v>
      </c>
      <c r="N50" s="2">
        <f t="shared" si="4"/>
        <v>0</v>
      </c>
    </row>
    <row r="51" spans="1:14" x14ac:dyDescent="0.3">
      <c r="A51" t="s">
        <v>73</v>
      </c>
      <c r="B51" t="s">
        <v>68</v>
      </c>
      <c r="C51" t="s">
        <v>74</v>
      </c>
      <c r="D51" s="10" t="s">
        <v>37</v>
      </c>
      <c r="E51" s="13" t="s">
        <v>12</v>
      </c>
      <c r="F51" s="13" t="s">
        <v>21</v>
      </c>
      <c r="G51" s="13" t="s">
        <v>57</v>
      </c>
      <c r="H51" s="24">
        <v>4</v>
      </c>
      <c r="I51" s="23">
        <v>6</v>
      </c>
      <c r="J51" s="29">
        <f t="shared" si="0"/>
        <v>0.66666666666666663</v>
      </c>
      <c r="K51" t="str">
        <f t="shared" si="1"/>
        <v>Credit</v>
      </c>
      <c r="L51" s="2">
        <f t="shared" si="2"/>
        <v>0</v>
      </c>
      <c r="M51" s="2">
        <f t="shared" si="3"/>
        <v>20</v>
      </c>
      <c r="N51" s="2">
        <f t="shared" si="4"/>
        <v>-20</v>
      </c>
    </row>
    <row r="52" spans="1:14" x14ac:dyDescent="0.3">
      <c r="A52" t="s">
        <v>73</v>
      </c>
      <c r="B52" t="s">
        <v>68</v>
      </c>
      <c r="C52" t="s">
        <v>74</v>
      </c>
      <c r="D52" s="10" t="s">
        <v>37</v>
      </c>
      <c r="E52" s="13" t="s">
        <v>12</v>
      </c>
      <c r="F52" s="13" t="s">
        <v>23</v>
      </c>
      <c r="G52" s="13" t="s">
        <v>14</v>
      </c>
      <c r="H52" s="24">
        <v>0</v>
      </c>
      <c r="I52" s="23">
        <v>1</v>
      </c>
      <c r="J52" s="29">
        <f t="shared" si="0"/>
        <v>0</v>
      </c>
      <c r="K52" t="str">
        <f t="shared" si="1"/>
        <v>Credit</v>
      </c>
      <c r="L52" s="2">
        <f t="shared" si="2"/>
        <v>0</v>
      </c>
      <c r="M52" s="2">
        <f t="shared" si="3"/>
        <v>10</v>
      </c>
      <c r="N52" s="2">
        <f t="shared" si="4"/>
        <v>-10</v>
      </c>
    </row>
    <row r="53" spans="1:14" x14ac:dyDescent="0.3">
      <c r="A53" t="s">
        <v>73</v>
      </c>
      <c r="B53" t="s">
        <v>68</v>
      </c>
      <c r="C53" t="s">
        <v>74</v>
      </c>
      <c r="D53" s="10" t="s">
        <v>37</v>
      </c>
      <c r="E53" s="13" t="s">
        <v>12</v>
      </c>
      <c r="F53" s="13" t="s">
        <v>24</v>
      </c>
      <c r="G53" s="13" t="s">
        <v>13</v>
      </c>
      <c r="H53" s="24">
        <v>0</v>
      </c>
      <c r="I53" s="23">
        <v>2</v>
      </c>
      <c r="J53" s="29">
        <f t="shared" si="0"/>
        <v>0</v>
      </c>
      <c r="K53" t="str">
        <f t="shared" si="1"/>
        <v>Credit</v>
      </c>
      <c r="L53" s="2">
        <f t="shared" si="2"/>
        <v>0</v>
      </c>
      <c r="M53" s="2">
        <f t="shared" si="3"/>
        <v>20</v>
      </c>
      <c r="N53" s="2">
        <f t="shared" si="4"/>
        <v>-20</v>
      </c>
    </row>
    <row r="54" spans="1:14" x14ac:dyDescent="0.3">
      <c r="A54" t="s">
        <v>73</v>
      </c>
      <c r="B54" t="s">
        <v>68</v>
      </c>
      <c r="C54" t="s">
        <v>74</v>
      </c>
      <c r="D54" s="10" t="s">
        <v>37</v>
      </c>
      <c r="E54" s="13" t="s">
        <v>12</v>
      </c>
      <c r="F54" s="13" t="s">
        <v>25</v>
      </c>
      <c r="G54" s="13" t="s">
        <v>58</v>
      </c>
      <c r="H54" s="24">
        <v>3</v>
      </c>
      <c r="I54" s="23">
        <v>3</v>
      </c>
      <c r="J54" s="29">
        <f t="shared" si="0"/>
        <v>1</v>
      </c>
      <c r="K54" t="str">
        <f t="shared" si="1"/>
        <v>Credit</v>
      </c>
      <c r="L54" s="2">
        <f t="shared" si="2"/>
        <v>0</v>
      </c>
      <c r="M54" s="2">
        <f t="shared" si="3"/>
        <v>0</v>
      </c>
      <c r="N54" s="2">
        <f t="shared" si="4"/>
        <v>0</v>
      </c>
    </row>
    <row r="55" spans="1:14" x14ac:dyDescent="0.3">
      <c r="A55" t="s">
        <v>73</v>
      </c>
      <c r="B55" t="s">
        <v>68</v>
      </c>
      <c r="C55" t="s">
        <v>74</v>
      </c>
      <c r="D55" s="10" t="s">
        <v>37</v>
      </c>
      <c r="E55" s="13" t="s">
        <v>12</v>
      </c>
      <c r="F55" s="13" t="s">
        <v>27</v>
      </c>
      <c r="G55" s="13" t="s">
        <v>14</v>
      </c>
      <c r="H55" s="24">
        <v>0</v>
      </c>
      <c r="I55" s="23">
        <v>1</v>
      </c>
      <c r="J55" s="29">
        <f t="shared" si="0"/>
        <v>0</v>
      </c>
      <c r="K55" t="str">
        <f t="shared" si="1"/>
        <v>Credit</v>
      </c>
      <c r="L55" s="2">
        <f t="shared" si="2"/>
        <v>0</v>
      </c>
      <c r="M55" s="2">
        <f t="shared" si="3"/>
        <v>10</v>
      </c>
      <c r="N55" s="2">
        <f t="shared" si="4"/>
        <v>-10</v>
      </c>
    </row>
    <row r="56" spans="1:14" x14ac:dyDescent="0.3">
      <c r="A56" t="s">
        <v>73</v>
      </c>
      <c r="B56" t="s">
        <v>68</v>
      </c>
      <c r="C56" t="s">
        <v>74</v>
      </c>
      <c r="D56" s="10" t="s">
        <v>37</v>
      </c>
      <c r="E56" s="13" t="s">
        <v>12</v>
      </c>
      <c r="F56" s="13" t="s">
        <v>29</v>
      </c>
      <c r="G56" s="13" t="s">
        <v>13</v>
      </c>
      <c r="H56" s="24">
        <v>0</v>
      </c>
      <c r="I56" s="23">
        <v>2</v>
      </c>
      <c r="J56" s="29">
        <f t="shared" si="0"/>
        <v>0</v>
      </c>
      <c r="K56" t="str">
        <f t="shared" si="1"/>
        <v>Credit</v>
      </c>
      <c r="L56" s="2">
        <f t="shared" si="2"/>
        <v>0</v>
      </c>
      <c r="M56" s="2">
        <f t="shared" si="3"/>
        <v>20</v>
      </c>
      <c r="N56" s="2">
        <f t="shared" si="4"/>
        <v>-20</v>
      </c>
    </row>
    <row r="57" spans="1:14" x14ac:dyDescent="0.3">
      <c r="A57" t="s">
        <v>73</v>
      </c>
      <c r="B57" t="s">
        <v>68</v>
      </c>
      <c r="C57" t="s">
        <v>74</v>
      </c>
      <c r="D57" s="10" t="s">
        <v>37</v>
      </c>
      <c r="E57" s="13" t="s">
        <v>12</v>
      </c>
      <c r="F57" s="13" t="s">
        <v>30</v>
      </c>
      <c r="G57" s="13" t="s">
        <v>31</v>
      </c>
      <c r="H57" s="24">
        <v>0</v>
      </c>
      <c r="I57" s="23">
        <v>20</v>
      </c>
      <c r="J57" s="29">
        <f t="shared" si="0"/>
        <v>0</v>
      </c>
      <c r="K57" t="str">
        <f t="shared" si="1"/>
        <v>Credit</v>
      </c>
      <c r="L57" s="2">
        <f t="shared" si="2"/>
        <v>0</v>
      </c>
      <c r="M57" s="2">
        <f t="shared" si="3"/>
        <v>200</v>
      </c>
      <c r="N57" s="2">
        <f t="shared" si="4"/>
        <v>-200</v>
      </c>
    </row>
    <row r="58" spans="1:14" x14ac:dyDescent="0.3">
      <c r="A58" t="s">
        <v>73</v>
      </c>
      <c r="B58" t="s">
        <v>68</v>
      </c>
      <c r="C58" t="s">
        <v>74</v>
      </c>
      <c r="D58" s="10" t="s">
        <v>37</v>
      </c>
      <c r="E58" s="13" t="s">
        <v>12</v>
      </c>
      <c r="F58" s="13" t="s">
        <v>32</v>
      </c>
      <c r="G58" s="13" t="s">
        <v>59</v>
      </c>
      <c r="H58" s="24">
        <v>18</v>
      </c>
      <c r="I58" s="23">
        <v>18</v>
      </c>
      <c r="J58" s="29">
        <f t="shared" si="0"/>
        <v>1</v>
      </c>
      <c r="K58" t="str">
        <f t="shared" si="1"/>
        <v>Credit</v>
      </c>
      <c r="L58" s="2">
        <f t="shared" si="2"/>
        <v>0</v>
      </c>
      <c r="M58" s="2">
        <f t="shared" si="3"/>
        <v>0</v>
      </c>
      <c r="N58" s="2">
        <f t="shared" si="4"/>
        <v>0</v>
      </c>
    </row>
    <row r="59" spans="1:14" x14ac:dyDescent="0.3">
      <c r="A59" t="s">
        <v>73</v>
      </c>
      <c r="B59" t="s">
        <v>68</v>
      </c>
      <c r="C59" t="s">
        <v>74</v>
      </c>
      <c r="D59" s="10" t="s">
        <v>37</v>
      </c>
      <c r="E59" s="13" t="s">
        <v>10</v>
      </c>
      <c r="F59" s="13" t="s">
        <v>34</v>
      </c>
      <c r="G59" s="13" t="s">
        <v>76</v>
      </c>
      <c r="H59" s="24">
        <v>0</v>
      </c>
      <c r="I59" s="23">
        <v>0</v>
      </c>
      <c r="J59" s="29">
        <f t="shared" si="0"/>
        <v>0</v>
      </c>
      <c r="K59" t="str">
        <f t="shared" si="1"/>
        <v>Prerequisite</v>
      </c>
      <c r="L59" s="2">
        <f t="shared" si="2"/>
        <v>0</v>
      </c>
      <c r="M59" s="2">
        <f t="shared" si="3"/>
        <v>0</v>
      </c>
      <c r="N59" s="2">
        <f t="shared" si="4"/>
        <v>0</v>
      </c>
    </row>
    <row r="60" spans="1:14" x14ac:dyDescent="0.3">
      <c r="A60" t="s">
        <v>73</v>
      </c>
      <c r="B60" t="s">
        <v>68</v>
      </c>
      <c r="C60" t="s">
        <v>74</v>
      </c>
      <c r="D60" s="10" t="s">
        <v>37</v>
      </c>
      <c r="E60" s="13" t="s">
        <v>10</v>
      </c>
      <c r="F60" s="13" t="s">
        <v>36</v>
      </c>
      <c r="G60" s="13" t="s">
        <v>76</v>
      </c>
      <c r="H60" s="24">
        <v>0</v>
      </c>
      <c r="I60" s="23">
        <v>0</v>
      </c>
      <c r="J60" s="29">
        <f t="shared" si="0"/>
        <v>0</v>
      </c>
      <c r="K60" t="str">
        <f t="shared" si="1"/>
        <v>Prerequisite</v>
      </c>
      <c r="L60" s="2">
        <f t="shared" si="2"/>
        <v>0</v>
      </c>
      <c r="M60" s="2">
        <f t="shared" si="3"/>
        <v>0</v>
      </c>
      <c r="N60" s="2">
        <f t="shared" si="4"/>
        <v>0</v>
      </c>
    </row>
    <row r="61" spans="1:14" x14ac:dyDescent="0.3">
      <c r="A61" t="s">
        <v>73</v>
      </c>
      <c r="B61" t="s">
        <v>68</v>
      </c>
      <c r="C61" t="s">
        <v>74</v>
      </c>
      <c r="D61" s="17" t="s">
        <v>48</v>
      </c>
      <c r="E61" s="16" t="s">
        <v>10</v>
      </c>
      <c r="F61" s="16" t="s">
        <v>38</v>
      </c>
      <c r="G61" s="16" t="s">
        <v>11</v>
      </c>
      <c r="H61" s="26">
        <v>0</v>
      </c>
      <c r="I61" s="23">
        <v>0</v>
      </c>
      <c r="J61" s="29">
        <f t="shared" si="0"/>
        <v>0</v>
      </c>
      <c r="K61" t="str">
        <f t="shared" si="1"/>
        <v>Prerequisite</v>
      </c>
      <c r="L61" s="2">
        <f t="shared" si="2"/>
        <v>0</v>
      </c>
      <c r="M61" s="2">
        <f t="shared" si="3"/>
        <v>0</v>
      </c>
      <c r="N61" s="2">
        <f t="shared" si="4"/>
        <v>0</v>
      </c>
    </row>
    <row r="62" spans="1:14" x14ac:dyDescent="0.3">
      <c r="A62" t="s">
        <v>73</v>
      </c>
      <c r="B62" t="s">
        <v>68</v>
      </c>
      <c r="C62" t="s">
        <v>74</v>
      </c>
      <c r="D62" s="17" t="s">
        <v>48</v>
      </c>
      <c r="E62" s="16" t="s">
        <v>10</v>
      </c>
      <c r="F62" s="16" t="s">
        <v>39</v>
      </c>
      <c r="G62" s="16" t="s">
        <v>11</v>
      </c>
      <c r="H62" s="26">
        <v>0</v>
      </c>
      <c r="I62" s="23">
        <v>0</v>
      </c>
      <c r="J62" s="29">
        <f t="shared" si="0"/>
        <v>0</v>
      </c>
      <c r="K62" t="str">
        <f t="shared" si="1"/>
        <v>Prerequisite</v>
      </c>
      <c r="L62" s="2">
        <f t="shared" si="2"/>
        <v>0</v>
      </c>
      <c r="M62" s="2">
        <f t="shared" si="3"/>
        <v>0</v>
      </c>
      <c r="N62" s="2">
        <f t="shared" si="4"/>
        <v>0</v>
      </c>
    </row>
    <row r="63" spans="1:14" x14ac:dyDescent="0.3">
      <c r="A63" t="s">
        <v>73</v>
      </c>
      <c r="B63" t="s">
        <v>68</v>
      </c>
      <c r="C63" t="s">
        <v>74</v>
      </c>
      <c r="D63" s="17" t="s">
        <v>48</v>
      </c>
      <c r="E63" s="16" t="s">
        <v>12</v>
      </c>
      <c r="F63" s="16" t="s">
        <v>40</v>
      </c>
      <c r="G63" s="16" t="s">
        <v>41</v>
      </c>
      <c r="H63" s="26">
        <v>0</v>
      </c>
      <c r="I63" s="23">
        <v>5</v>
      </c>
      <c r="J63" s="29">
        <f t="shared" si="0"/>
        <v>0</v>
      </c>
      <c r="K63" t="str">
        <f t="shared" si="1"/>
        <v>Credit</v>
      </c>
      <c r="L63" s="2">
        <f t="shared" si="2"/>
        <v>0</v>
      </c>
      <c r="M63" s="2">
        <f t="shared" si="3"/>
        <v>0</v>
      </c>
      <c r="N63" s="2">
        <f t="shared" si="4"/>
        <v>0</v>
      </c>
    </row>
    <row r="64" spans="1:14" x14ac:dyDescent="0.3">
      <c r="A64" t="s">
        <v>73</v>
      </c>
      <c r="B64" t="s">
        <v>68</v>
      </c>
      <c r="C64" t="s">
        <v>74</v>
      </c>
      <c r="D64" s="17" t="s">
        <v>48</v>
      </c>
      <c r="E64" s="16" t="s">
        <v>12</v>
      </c>
      <c r="F64" s="16" t="s">
        <v>66</v>
      </c>
      <c r="G64" s="16" t="s">
        <v>51</v>
      </c>
      <c r="H64" s="26">
        <v>1</v>
      </c>
      <c r="I64" s="23">
        <v>2</v>
      </c>
      <c r="J64" s="29">
        <f t="shared" si="0"/>
        <v>0.5</v>
      </c>
      <c r="K64" t="str">
        <f t="shared" si="1"/>
        <v>Credit</v>
      </c>
      <c r="L64" s="2">
        <f t="shared" si="2"/>
        <v>0</v>
      </c>
      <c r="M64" s="2">
        <f t="shared" si="3"/>
        <v>0</v>
      </c>
      <c r="N64" s="2">
        <f t="shared" si="4"/>
        <v>0</v>
      </c>
    </row>
    <row r="65" spans="1:14" x14ac:dyDescent="0.3">
      <c r="A65" t="s">
        <v>73</v>
      </c>
      <c r="B65" t="s">
        <v>68</v>
      </c>
      <c r="C65" t="s">
        <v>74</v>
      </c>
      <c r="D65" s="17" t="s">
        <v>48</v>
      </c>
      <c r="E65" s="16" t="s">
        <v>12</v>
      </c>
      <c r="F65" s="16" t="s">
        <v>77</v>
      </c>
      <c r="G65" s="16" t="s">
        <v>13</v>
      </c>
      <c r="H65" s="26">
        <v>0</v>
      </c>
      <c r="I65" s="23">
        <v>2</v>
      </c>
      <c r="J65" s="29">
        <f t="shared" si="0"/>
        <v>0</v>
      </c>
      <c r="K65" t="str">
        <f t="shared" si="1"/>
        <v>Credit</v>
      </c>
      <c r="L65" s="2">
        <f t="shared" si="2"/>
        <v>0</v>
      </c>
      <c r="M65" s="2">
        <f t="shared" si="3"/>
        <v>0</v>
      </c>
      <c r="N65" s="2">
        <f t="shared" si="4"/>
        <v>0</v>
      </c>
    </row>
    <row r="66" spans="1:14" x14ac:dyDescent="0.3">
      <c r="A66" t="s">
        <v>73</v>
      </c>
      <c r="B66" t="s">
        <v>68</v>
      </c>
      <c r="C66" t="s">
        <v>74</v>
      </c>
      <c r="D66" s="17" t="s">
        <v>48</v>
      </c>
      <c r="E66" s="16" t="s">
        <v>12</v>
      </c>
      <c r="F66" s="16" t="s">
        <v>44</v>
      </c>
      <c r="G66" s="16" t="s">
        <v>46</v>
      </c>
      <c r="H66" s="26">
        <v>2</v>
      </c>
      <c r="I66" s="23">
        <v>2</v>
      </c>
      <c r="J66" s="29">
        <f t="shared" si="0"/>
        <v>1</v>
      </c>
      <c r="K66" t="str">
        <f t="shared" si="1"/>
        <v>Credit</v>
      </c>
      <c r="L66" s="2">
        <f t="shared" si="2"/>
        <v>0</v>
      </c>
      <c r="M66" s="2">
        <f t="shared" si="3"/>
        <v>0</v>
      </c>
      <c r="N66" s="2">
        <f t="shared" si="4"/>
        <v>0</v>
      </c>
    </row>
    <row r="67" spans="1:14" x14ac:dyDescent="0.3">
      <c r="A67" t="s">
        <v>73</v>
      </c>
      <c r="B67" t="s">
        <v>68</v>
      </c>
      <c r="C67" t="s">
        <v>74</v>
      </c>
      <c r="D67" s="17" t="s">
        <v>48</v>
      </c>
      <c r="E67" s="16" t="s">
        <v>12</v>
      </c>
      <c r="F67" s="16" t="s">
        <v>45</v>
      </c>
      <c r="G67" s="16" t="s">
        <v>51</v>
      </c>
      <c r="H67" s="26">
        <v>1</v>
      </c>
      <c r="I67" s="23">
        <v>2</v>
      </c>
      <c r="J67" s="29">
        <f t="shared" ref="J67:J89" si="5">IF(I67=0, 0, H67/I67)</f>
        <v>0.5</v>
      </c>
      <c r="K67" t="str">
        <f t="shared" ref="K67:K89" si="6">IF(AND(H67=0,I67=0),"Prerequisite","Credit")</f>
        <v>Credit</v>
      </c>
      <c r="L67" s="2">
        <f t="shared" ref="L67:L89" si="7">IF(AND(D67="MATERIAL AND RESOURCES", F67="Building life-cycle impact reduction"), H67 * 50, 0)</f>
        <v>0</v>
      </c>
      <c r="M67" s="2">
        <f t="shared" ref="M67:M89" si="8">IF(D67="Energy &amp; Atmosphere", (I67 - H67) * 10, 0)</f>
        <v>0</v>
      </c>
      <c r="N67" s="2">
        <f t="shared" ref="N67:N89" si="9">L67 - M67</f>
        <v>0</v>
      </c>
    </row>
    <row r="68" spans="1:14" x14ac:dyDescent="0.3">
      <c r="A68" t="s">
        <v>75</v>
      </c>
      <c r="B68" t="s">
        <v>68</v>
      </c>
      <c r="C68" t="s">
        <v>74</v>
      </c>
      <c r="D68" s="10" t="s">
        <v>37</v>
      </c>
      <c r="E68" s="12" t="s">
        <v>10</v>
      </c>
      <c r="F68" s="12" t="s">
        <v>16</v>
      </c>
      <c r="G68" s="12" t="s">
        <v>11</v>
      </c>
      <c r="H68" s="22">
        <v>0</v>
      </c>
      <c r="I68" s="23">
        <v>0</v>
      </c>
      <c r="J68" s="29">
        <f t="shared" si="5"/>
        <v>0</v>
      </c>
      <c r="K68" t="str">
        <f t="shared" si="6"/>
        <v>Prerequisite</v>
      </c>
      <c r="L68" s="2">
        <f t="shared" si="7"/>
        <v>0</v>
      </c>
      <c r="M68" s="2">
        <f t="shared" si="8"/>
        <v>0</v>
      </c>
      <c r="N68" s="2">
        <f t="shared" si="9"/>
        <v>0</v>
      </c>
    </row>
    <row r="69" spans="1:14" x14ac:dyDescent="0.3">
      <c r="A69" t="s">
        <v>75</v>
      </c>
      <c r="B69" t="s">
        <v>68</v>
      </c>
      <c r="C69" t="s">
        <v>74</v>
      </c>
      <c r="D69" s="10" t="s">
        <v>37</v>
      </c>
      <c r="E69" s="13" t="s">
        <v>10</v>
      </c>
      <c r="F69" s="13" t="s">
        <v>17</v>
      </c>
      <c r="G69" s="13" t="s">
        <v>11</v>
      </c>
      <c r="H69" s="24">
        <v>0</v>
      </c>
      <c r="I69" s="23">
        <v>0</v>
      </c>
      <c r="J69" s="29">
        <f t="shared" si="5"/>
        <v>0</v>
      </c>
      <c r="K69" t="str">
        <f t="shared" si="6"/>
        <v>Prerequisite</v>
      </c>
      <c r="L69" s="2">
        <f t="shared" si="7"/>
        <v>0</v>
      </c>
      <c r="M69" s="2">
        <f t="shared" si="8"/>
        <v>0</v>
      </c>
      <c r="N69" s="2">
        <f t="shared" si="9"/>
        <v>0</v>
      </c>
    </row>
    <row r="70" spans="1:14" x14ac:dyDescent="0.3">
      <c r="A70" t="s">
        <v>75</v>
      </c>
      <c r="B70" t="s">
        <v>68</v>
      </c>
      <c r="C70" t="s">
        <v>74</v>
      </c>
      <c r="D70" s="10" t="s">
        <v>37</v>
      </c>
      <c r="E70" s="13" t="s">
        <v>10</v>
      </c>
      <c r="F70" s="13" t="s">
        <v>18</v>
      </c>
      <c r="G70" s="13" t="s">
        <v>11</v>
      </c>
      <c r="H70" s="24">
        <v>0</v>
      </c>
      <c r="I70" s="23">
        <v>0</v>
      </c>
      <c r="J70" s="29">
        <f t="shared" si="5"/>
        <v>0</v>
      </c>
      <c r="K70" t="str">
        <f t="shared" si="6"/>
        <v>Prerequisite</v>
      </c>
      <c r="L70" s="2">
        <f t="shared" si="7"/>
        <v>0</v>
      </c>
      <c r="M70" s="2">
        <f t="shared" si="8"/>
        <v>0</v>
      </c>
      <c r="N70" s="2">
        <f t="shared" si="9"/>
        <v>0</v>
      </c>
    </row>
    <row r="71" spans="1:14" x14ac:dyDescent="0.3">
      <c r="A71" t="s">
        <v>75</v>
      </c>
      <c r="B71" t="s">
        <v>68</v>
      </c>
      <c r="C71" t="s">
        <v>74</v>
      </c>
      <c r="D71" s="10" t="s">
        <v>37</v>
      </c>
      <c r="E71" s="13" t="s">
        <v>10</v>
      </c>
      <c r="F71" s="13" t="s">
        <v>19</v>
      </c>
      <c r="G71" s="13" t="s">
        <v>11</v>
      </c>
      <c r="H71" s="24">
        <v>0</v>
      </c>
      <c r="I71" s="23">
        <v>0</v>
      </c>
      <c r="J71" s="29">
        <f t="shared" si="5"/>
        <v>0</v>
      </c>
      <c r="K71" t="str">
        <f t="shared" si="6"/>
        <v>Prerequisite</v>
      </c>
      <c r="L71" s="2">
        <f t="shared" si="7"/>
        <v>0</v>
      </c>
      <c r="M71" s="2">
        <f t="shared" si="8"/>
        <v>0</v>
      </c>
      <c r="N71" s="2">
        <f t="shared" si="9"/>
        <v>0</v>
      </c>
    </row>
    <row r="72" spans="1:14" x14ac:dyDescent="0.3">
      <c r="A72" t="s">
        <v>75</v>
      </c>
      <c r="B72" t="s">
        <v>68</v>
      </c>
      <c r="C72" t="s">
        <v>74</v>
      </c>
      <c r="D72" s="10" t="s">
        <v>37</v>
      </c>
      <c r="E72" s="13" t="s">
        <v>10</v>
      </c>
      <c r="F72" s="13" t="s">
        <v>20</v>
      </c>
      <c r="G72" s="13" t="s">
        <v>11</v>
      </c>
      <c r="H72" s="24">
        <v>0</v>
      </c>
      <c r="I72" s="23">
        <v>0</v>
      </c>
      <c r="J72" s="29">
        <f t="shared" si="5"/>
        <v>0</v>
      </c>
      <c r="K72" t="str">
        <f t="shared" si="6"/>
        <v>Prerequisite</v>
      </c>
      <c r="L72" s="2">
        <f t="shared" si="7"/>
        <v>0</v>
      </c>
      <c r="M72" s="2">
        <f t="shared" si="8"/>
        <v>0</v>
      </c>
      <c r="N72" s="2">
        <f t="shared" si="9"/>
        <v>0</v>
      </c>
    </row>
    <row r="73" spans="1:14" x14ac:dyDescent="0.3">
      <c r="A73" t="s">
        <v>75</v>
      </c>
      <c r="B73" t="s">
        <v>68</v>
      </c>
      <c r="C73" t="s">
        <v>74</v>
      </c>
      <c r="D73" s="10" t="s">
        <v>37</v>
      </c>
      <c r="E73" s="13" t="s">
        <v>12</v>
      </c>
      <c r="F73" s="13" t="s">
        <v>21</v>
      </c>
      <c r="G73" s="13" t="s">
        <v>50</v>
      </c>
      <c r="H73" s="24">
        <v>5</v>
      </c>
      <c r="I73" s="23">
        <v>6</v>
      </c>
      <c r="J73" s="29">
        <f t="shared" si="5"/>
        <v>0.83333333333333337</v>
      </c>
      <c r="K73" t="str">
        <f t="shared" si="6"/>
        <v>Credit</v>
      </c>
      <c r="L73" s="2">
        <f t="shared" si="7"/>
        <v>0</v>
      </c>
      <c r="M73" s="2">
        <f t="shared" si="8"/>
        <v>10</v>
      </c>
      <c r="N73" s="2">
        <f t="shared" si="9"/>
        <v>-10</v>
      </c>
    </row>
    <row r="74" spans="1:14" x14ac:dyDescent="0.3">
      <c r="A74" t="s">
        <v>75</v>
      </c>
      <c r="B74" t="s">
        <v>68</v>
      </c>
      <c r="C74" t="s">
        <v>74</v>
      </c>
      <c r="D74" s="10" t="s">
        <v>37</v>
      </c>
      <c r="E74" s="13" t="s">
        <v>12</v>
      </c>
      <c r="F74" s="13" t="s">
        <v>23</v>
      </c>
      <c r="G74" s="13" t="s">
        <v>14</v>
      </c>
      <c r="H74" s="24">
        <v>0</v>
      </c>
      <c r="I74" s="23">
        <v>1</v>
      </c>
      <c r="J74" s="29">
        <f t="shared" si="5"/>
        <v>0</v>
      </c>
      <c r="K74" t="str">
        <f t="shared" si="6"/>
        <v>Credit</v>
      </c>
      <c r="L74" s="2">
        <f t="shared" si="7"/>
        <v>0</v>
      </c>
      <c r="M74" s="2">
        <f t="shared" si="8"/>
        <v>10</v>
      </c>
      <c r="N74" s="2">
        <f t="shared" si="9"/>
        <v>-10</v>
      </c>
    </row>
    <row r="75" spans="1:14" x14ac:dyDescent="0.3">
      <c r="A75" t="s">
        <v>75</v>
      </c>
      <c r="B75" t="s">
        <v>68</v>
      </c>
      <c r="C75" t="s">
        <v>74</v>
      </c>
      <c r="D75" s="10" t="s">
        <v>37</v>
      </c>
      <c r="E75" s="13" t="s">
        <v>12</v>
      </c>
      <c r="F75" s="13" t="s">
        <v>24</v>
      </c>
      <c r="G75" s="13" t="s">
        <v>13</v>
      </c>
      <c r="H75" s="24">
        <v>0</v>
      </c>
      <c r="I75" s="23">
        <v>2</v>
      </c>
      <c r="J75" s="29">
        <f t="shared" si="5"/>
        <v>0</v>
      </c>
      <c r="K75" t="str">
        <f t="shared" si="6"/>
        <v>Credit</v>
      </c>
      <c r="L75" s="2">
        <f t="shared" si="7"/>
        <v>0</v>
      </c>
      <c r="M75" s="2">
        <f t="shared" si="8"/>
        <v>20</v>
      </c>
      <c r="N75" s="2">
        <f t="shared" si="9"/>
        <v>-20</v>
      </c>
    </row>
    <row r="76" spans="1:14" x14ac:dyDescent="0.3">
      <c r="A76" t="s">
        <v>75</v>
      </c>
      <c r="B76" t="s">
        <v>68</v>
      </c>
      <c r="C76" t="s">
        <v>74</v>
      </c>
      <c r="D76" s="10" t="s">
        <v>37</v>
      </c>
      <c r="E76" s="13" t="s">
        <v>12</v>
      </c>
      <c r="F76" s="13" t="s">
        <v>25</v>
      </c>
      <c r="G76" s="13" t="s">
        <v>58</v>
      </c>
      <c r="H76" s="24">
        <v>3</v>
      </c>
      <c r="I76" s="23">
        <v>3</v>
      </c>
      <c r="J76" s="29">
        <f t="shared" si="5"/>
        <v>1</v>
      </c>
      <c r="K76" t="str">
        <f t="shared" si="6"/>
        <v>Credit</v>
      </c>
      <c r="L76" s="2">
        <f t="shared" si="7"/>
        <v>0</v>
      </c>
      <c r="M76" s="2">
        <f t="shared" si="8"/>
        <v>0</v>
      </c>
      <c r="N76" s="2">
        <f t="shared" si="9"/>
        <v>0</v>
      </c>
    </row>
    <row r="77" spans="1:14" x14ac:dyDescent="0.3">
      <c r="A77" t="s">
        <v>75</v>
      </c>
      <c r="B77" t="s">
        <v>68</v>
      </c>
      <c r="C77" t="s">
        <v>74</v>
      </c>
      <c r="D77" s="10" t="s">
        <v>37</v>
      </c>
      <c r="E77" s="13" t="s">
        <v>12</v>
      </c>
      <c r="F77" s="13" t="s">
        <v>27</v>
      </c>
      <c r="G77" s="13" t="s">
        <v>28</v>
      </c>
      <c r="H77" s="24">
        <v>1</v>
      </c>
      <c r="I77" s="23">
        <v>1</v>
      </c>
      <c r="J77" s="29">
        <f t="shared" si="5"/>
        <v>1</v>
      </c>
      <c r="K77" t="str">
        <f t="shared" si="6"/>
        <v>Credit</v>
      </c>
      <c r="L77" s="2">
        <f t="shared" si="7"/>
        <v>0</v>
      </c>
      <c r="M77" s="2">
        <f t="shared" si="8"/>
        <v>0</v>
      </c>
      <c r="N77" s="2">
        <f t="shared" si="9"/>
        <v>0</v>
      </c>
    </row>
    <row r="78" spans="1:14" x14ac:dyDescent="0.3">
      <c r="A78" t="s">
        <v>75</v>
      </c>
      <c r="B78" t="s">
        <v>68</v>
      </c>
      <c r="C78" t="s">
        <v>74</v>
      </c>
      <c r="D78" s="10" t="s">
        <v>37</v>
      </c>
      <c r="E78" s="13" t="s">
        <v>12</v>
      </c>
      <c r="F78" s="13" t="s">
        <v>29</v>
      </c>
      <c r="G78" s="13" t="s">
        <v>46</v>
      </c>
      <c r="H78" s="24">
        <v>2</v>
      </c>
      <c r="I78" s="23">
        <v>2</v>
      </c>
      <c r="J78" s="29">
        <f t="shared" si="5"/>
        <v>1</v>
      </c>
      <c r="K78" t="str">
        <f t="shared" si="6"/>
        <v>Credit</v>
      </c>
      <c r="L78" s="2">
        <f t="shared" si="7"/>
        <v>0</v>
      </c>
      <c r="M78" s="2">
        <f t="shared" si="8"/>
        <v>0</v>
      </c>
      <c r="N78" s="2">
        <f t="shared" si="9"/>
        <v>0</v>
      </c>
    </row>
    <row r="79" spans="1:14" x14ac:dyDescent="0.3">
      <c r="A79" t="s">
        <v>75</v>
      </c>
      <c r="B79" t="s">
        <v>68</v>
      </c>
      <c r="C79" t="s">
        <v>74</v>
      </c>
      <c r="D79" s="10" t="s">
        <v>37</v>
      </c>
      <c r="E79" s="13" t="s">
        <v>12</v>
      </c>
      <c r="F79" s="13" t="s">
        <v>30</v>
      </c>
      <c r="G79" s="13" t="s">
        <v>31</v>
      </c>
      <c r="H79" s="24">
        <v>0</v>
      </c>
      <c r="I79" s="23">
        <v>20</v>
      </c>
      <c r="J79" s="29">
        <f t="shared" si="5"/>
        <v>0</v>
      </c>
      <c r="K79" t="str">
        <f t="shared" si="6"/>
        <v>Credit</v>
      </c>
      <c r="L79" s="2">
        <f t="shared" si="7"/>
        <v>0</v>
      </c>
      <c r="M79" s="2">
        <f t="shared" si="8"/>
        <v>200</v>
      </c>
      <c r="N79" s="2">
        <f t="shared" si="9"/>
        <v>-200</v>
      </c>
    </row>
    <row r="80" spans="1:14" x14ac:dyDescent="0.3">
      <c r="A80" t="s">
        <v>75</v>
      </c>
      <c r="B80" t="s">
        <v>68</v>
      </c>
      <c r="C80" t="s">
        <v>74</v>
      </c>
      <c r="D80" s="10" t="s">
        <v>37</v>
      </c>
      <c r="E80" s="13" t="s">
        <v>12</v>
      </c>
      <c r="F80" s="13" t="s">
        <v>32</v>
      </c>
      <c r="G80" s="13" t="s">
        <v>59</v>
      </c>
      <c r="H80" s="24">
        <v>18</v>
      </c>
      <c r="I80" s="23">
        <v>18</v>
      </c>
      <c r="J80" s="29">
        <f t="shared" si="5"/>
        <v>1</v>
      </c>
      <c r="K80" t="str">
        <f t="shared" si="6"/>
        <v>Credit</v>
      </c>
      <c r="L80" s="2">
        <f t="shared" si="7"/>
        <v>0</v>
      </c>
      <c r="M80" s="2">
        <f t="shared" si="8"/>
        <v>0</v>
      </c>
      <c r="N80" s="2">
        <f t="shared" si="9"/>
        <v>0</v>
      </c>
    </row>
    <row r="81" spans="1:14" x14ac:dyDescent="0.3">
      <c r="A81" t="s">
        <v>75</v>
      </c>
      <c r="B81" t="s">
        <v>68</v>
      </c>
      <c r="C81" t="s">
        <v>74</v>
      </c>
      <c r="D81" s="10" t="s">
        <v>37</v>
      </c>
      <c r="E81" s="13" t="s">
        <v>10</v>
      </c>
      <c r="F81" s="13" t="s">
        <v>34</v>
      </c>
      <c r="G81" s="13" t="s">
        <v>76</v>
      </c>
      <c r="H81" s="24">
        <v>0</v>
      </c>
      <c r="I81" s="23">
        <v>0</v>
      </c>
      <c r="J81" s="29">
        <f t="shared" si="5"/>
        <v>0</v>
      </c>
      <c r="K81" t="str">
        <f t="shared" si="6"/>
        <v>Prerequisite</v>
      </c>
      <c r="L81" s="2">
        <f t="shared" si="7"/>
        <v>0</v>
      </c>
      <c r="M81" s="2">
        <f t="shared" si="8"/>
        <v>0</v>
      </c>
      <c r="N81" s="2">
        <f t="shared" si="9"/>
        <v>0</v>
      </c>
    </row>
    <row r="82" spans="1:14" x14ac:dyDescent="0.3">
      <c r="A82" t="s">
        <v>75</v>
      </c>
      <c r="B82" t="s">
        <v>68</v>
      </c>
      <c r="C82" t="s">
        <v>74</v>
      </c>
      <c r="D82" s="10" t="s">
        <v>37</v>
      </c>
      <c r="E82" s="13" t="s">
        <v>10</v>
      </c>
      <c r="F82" s="13" t="s">
        <v>36</v>
      </c>
      <c r="G82" s="13" t="s">
        <v>76</v>
      </c>
      <c r="H82" s="24">
        <v>0</v>
      </c>
      <c r="I82" s="23">
        <v>0</v>
      </c>
      <c r="J82" s="29">
        <f t="shared" si="5"/>
        <v>0</v>
      </c>
      <c r="K82" t="str">
        <f t="shared" si="6"/>
        <v>Prerequisite</v>
      </c>
      <c r="L82" s="2">
        <f t="shared" si="7"/>
        <v>0</v>
      </c>
      <c r="M82" s="2">
        <f t="shared" si="8"/>
        <v>0</v>
      </c>
      <c r="N82" s="2">
        <f t="shared" si="9"/>
        <v>0</v>
      </c>
    </row>
    <row r="83" spans="1:14" x14ac:dyDescent="0.3">
      <c r="A83" t="s">
        <v>75</v>
      </c>
      <c r="B83" t="s">
        <v>68</v>
      </c>
      <c r="C83" t="s">
        <v>74</v>
      </c>
      <c r="D83" s="17" t="s">
        <v>63</v>
      </c>
      <c r="E83" s="15" t="s">
        <v>10</v>
      </c>
      <c r="F83" s="15" t="s">
        <v>38</v>
      </c>
      <c r="G83" s="15" t="s">
        <v>11</v>
      </c>
      <c r="H83" s="25">
        <v>0</v>
      </c>
      <c r="I83" s="23">
        <v>0</v>
      </c>
      <c r="J83" s="29">
        <f t="shared" si="5"/>
        <v>0</v>
      </c>
      <c r="K83" t="str">
        <f t="shared" si="6"/>
        <v>Prerequisite</v>
      </c>
      <c r="L83" s="2">
        <f t="shared" si="7"/>
        <v>0</v>
      </c>
      <c r="M83" s="2">
        <f t="shared" si="8"/>
        <v>0</v>
      </c>
      <c r="N83" s="2">
        <f t="shared" si="9"/>
        <v>0</v>
      </c>
    </row>
    <row r="84" spans="1:14" x14ac:dyDescent="0.3">
      <c r="A84" t="s">
        <v>75</v>
      </c>
      <c r="B84" t="s">
        <v>68</v>
      </c>
      <c r="C84" t="s">
        <v>74</v>
      </c>
      <c r="D84" s="17" t="s">
        <v>63</v>
      </c>
      <c r="E84" s="16" t="s">
        <v>10</v>
      </c>
      <c r="F84" s="16" t="s">
        <v>39</v>
      </c>
      <c r="G84" s="16" t="s">
        <v>11</v>
      </c>
      <c r="H84" s="26">
        <v>0</v>
      </c>
      <c r="I84" s="23">
        <v>0</v>
      </c>
      <c r="J84" s="29">
        <f t="shared" si="5"/>
        <v>0</v>
      </c>
      <c r="K84" t="str">
        <f t="shared" si="6"/>
        <v>Prerequisite</v>
      </c>
      <c r="L84" s="2">
        <f t="shared" si="7"/>
        <v>0</v>
      </c>
      <c r="M84" s="2">
        <f t="shared" si="8"/>
        <v>0</v>
      </c>
      <c r="N84" s="2">
        <f t="shared" si="9"/>
        <v>0</v>
      </c>
    </row>
    <row r="85" spans="1:14" x14ac:dyDescent="0.3">
      <c r="A85" t="s">
        <v>75</v>
      </c>
      <c r="B85" t="s">
        <v>68</v>
      </c>
      <c r="C85" t="s">
        <v>74</v>
      </c>
      <c r="D85" s="17" t="s">
        <v>63</v>
      </c>
      <c r="E85" s="16" t="s">
        <v>12</v>
      </c>
      <c r="F85" s="16" t="s">
        <v>40</v>
      </c>
      <c r="G85" s="16" t="s">
        <v>55</v>
      </c>
      <c r="H85" s="26">
        <v>2</v>
      </c>
      <c r="I85" s="23">
        <v>6</v>
      </c>
      <c r="J85" s="29">
        <f t="shared" si="5"/>
        <v>0.33333333333333331</v>
      </c>
      <c r="K85" t="str">
        <f t="shared" si="6"/>
        <v>Credit</v>
      </c>
      <c r="L85" s="2">
        <f t="shared" si="7"/>
        <v>0</v>
      </c>
      <c r="M85" s="2">
        <f t="shared" si="8"/>
        <v>0</v>
      </c>
      <c r="N85" s="2">
        <f t="shared" si="9"/>
        <v>0</v>
      </c>
    </row>
    <row r="86" spans="1:14" x14ac:dyDescent="0.3">
      <c r="A86" t="s">
        <v>75</v>
      </c>
      <c r="B86" t="s">
        <v>68</v>
      </c>
      <c r="C86" t="s">
        <v>74</v>
      </c>
      <c r="D86" s="17" t="s">
        <v>63</v>
      </c>
      <c r="E86" s="16" t="s">
        <v>12</v>
      </c>
      <c r="F86" s="16" t="s">
        <v>66</v>
      </c>
      <c r="G86" s="16" t="s">
        <v>51</v>
      </c>
      <c r="H86" s="26">
        <v>1</v>
      </c>
      <c r="I86" s="23">
        <v>2</v>
      </c>
      <c r="J86" s="29">
        <f t="shared" si="5"/>
        <v>0.5</v>
      </c>
      <c r="K86" t="str">
        <f t="shared" si="6"/>
        <v>Credit</v>
      </c>
      <c r="L86" s="2">
        <f t="shared" si="7"/>
        <v>0</v>
      </c>
      <c r="M86" s="2">
        <f t="shared" si="8"/>
        <v>0</v>
      </c>
      <c r="N86" s="2">
        <f t="shared" si="9"/>
        <v>0</v>
      </c>
    </row>
    <row r="87" spans="1:14" x14ac:dyDescent="0.3">
      <c r="A87" t="s">
        <v>75</v>
      </c>
      <c r="B87" t="s">
        <v>68</v>
      </c>
      <c r="C87" t="s">
        <v>74</v>
      </c>
      <c r="D87" s="17" t="s">
        <v>63</v>
      </c>
      <c r="E87" s="16" t="s">
        <v>12</v>
      </c>
      <c r="F87" s="16" t="s">
        <v>65</v>
      </c>
      <c r="G87" s="16" t="s">
        <v>51</v>
      </c>
      <c r="H87" s="26">
        <v>1</v>
      </c>
      <c r="I87" s="23">
        <v>2</v>
      </c>
      <c r="J87" s="29">
        <f t="shared" si="5"/>
        <v>0.5</v>
      </c>
      <c r="K87" t="str">
        <f t="shared" si="6"/>
        <v>Credit</v>
      </c>
      <c r="L87" s="2">
        <f t="shared" si="7"/>
        <v>0</v>
      </c>
      <c r="M87" s="2">
        <f t="shared" si="8"/>
        <v>0</v>
      </c>
      <c r="N87" s="2">
        <f t="shared" si="9"/>
        <v>0</v>
      </c>
    </row>
    <row r="88" spans="1:14" x14ac:dyDescent="0.3">
      <c r="A88" t="s">
        <v>75</v>
      </c>
      <c r="B88" t="s">
        <v>68</v>
      </c>
      <c r="C88" t="s">
        <v>74</v>
      </c>
      <c r="D88" s="17" t="s">
        <v>63</v>
      </c>
      <c r="E88" s="16" t="s">
        <v>12</v>
      </c>
      <c r="F88" s="16" t="s">
        <v>44</v>
      </c>
      <c r="G88" s="16" t="s">
        <v>46</v>
      </c>
      <c r="H88" s="26">
        <v>2</v>
      </c>
      <c r="I88" s="23">
        <v>2</v>
      </c>
      <c r="J88" s="29">
        <f t="shared" si="5"/>
        <v>1</v>
      </c>
      <c r="K88" t="str">
        <f t="shared" si="6"/>
        <v>Credit</v>
      </c>
      <c r="L88" s="2">
        <f t="shared" si="7"/>
        <v>0</v>
      </c>
      <c r="M88" s="2">
        <f t="shared" si="8"/>
        <v>0</v>
      </c>
      <c r="N88" s="2">
        <f t="shared" si="9"/>
        <v>0</v>
      </c>
    </row>
    <row r="89" spans="1:14" x14ac:dyDescent="0.3">
      <c r="A89" t="s">
        <v>75</v>
      </c>
      <c r="B89" t="s">
        <v>68</v>
      </c>
      <c r="C89" t="s">
        <v>74</v>
      </c>
      <c r="D89" s="17" t="s">
        <v>63</v>
      </c>
      <c r="E89" s="16" t="s">
        <v>12</v>
      </c>
      <c r="F89" s="16" t="s">
        <v>45</v>
      </c>
      <c r="G89" s="16" t="s">
        <v>46</v>
      </c>
      <c r="H89" s="26">
        <v>2</v>
      </c>
      <c r="I89" s="23">
        <v>2</v>
      </c>
      <c r="J89" s="29">
        <f t="shared" si="5"/>
        <v>1</v>
      </c>
      <c r="K89" t="str">
        <f t="shared" si="6"/>
        <v>Credit</v>
      </c>
      <c r="L89" s="2">
        <f t="shared" si="7"/>
        <v>0</v>
      </c>
      <c r="M89" s="2">
        <f t="shared" si="8"/>
        <v>0</v>
      </c>
      <c r="N89" s="2">
        <f t="shared" si="9"/>
        <v>0</v>
      </c>
    </row>
  </sheetData>
  <pageMargins left="0.7" right="0.7" top="0.75" bottom="0.75" header="0.3" footer="0.3"/>
  <customProperties>
    <customPr name="LastActive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D0ECB-6B4B-4F29-A404-498203D918C2}">
  <dimension ref="A1:C27"/>
  <sheetViews>
    <sheetView topLeftCell="A79" workbookViewId="0">
      <selection activeCell="A20" sqref="A20"/>
    </sheetView>
  </sheetViews>
  <sheetFormatPr defaultRowHeight="14.4" x14ac:dyDescent="0.3"/>
  <cols>
    <col min="1" max="1" width="34.77734375" style="2" customWidth="1"/>
    <col min="2" max="2" width="62.21875" style="2" customWidth="1"/>
    <col min="3" max="3" width="75.109375" style="2" customWidth="1"/>
  </cols>
  <sheetData>
    <row r="1" spans="1:3" x14ac:dyDescent="0.3">
      <c r="A1" s="11" t="s">
        <v>37</v>
      </c>
      <c r="B1" s="19"/>
      <c r="C1" s="10" t="s">
        <v>54</v>
      </c>
    </row>
    <row r="2" spans="1:3" x14ac:dyDescent="0.3">
      <c r="A2" s="12" t="s">
        <v>10</v>
      </c>
      <c r="B2" s="12" t="s">
        <v>16</v>
      </c>
      <c r="C2" s="12" t="s">
        <v>11</v>
      </c>
    </row>
    <row r="3" spans="1:3" x14ac:dyDescent="0.3">
      <c r="A3" s="13" t="s">
        <v>10</v>
      </c>
      <c r="B3" s="13" t="s">
        <v>17</v>
      </c>
      <c r="C3" s="13" t="s">
        <v>11</v>
      </c>
    </row>
    <row r="4" spans="1:3" x14ac:dyDescent="0.3">
      <c r="A4" s="13" t="s">
        <v>10</v>
      </c>
      <c r="B4" s="13" t="s">
        <v>18</v>
      </c>
      <c r="C4" s="13" t="s">
        <v>11</v>
      </c>
    </row>
    <row r="5" spans="1:3" x14ac:dyDescent="0.3">
      <c r="A5" s="13" t="s">
        <v>10</v>
      </c>
      <c r="B5" s="13" t="s">
        <v>19</v>
      </c>
      <c r="C5" s="13" t="s">
        <v>11</v>
      </c>
    </row>
    <row r="6" spans="1:3" x14ac:dyDescent="0.3">
      <c r="A6" s="13" t="s">
        <v>10</v>
      </c>
      <c r="B6" s="13" t="s">
        <v>20</v>
      </c>
      <c r="C6" s="13" t="s">
        <v>11</v>
      </c>
    </row>
    <row r="7" spans="1:3" x14ac:dyDescent="0.3">
      <c r="A7" s="13" t="s">
        <v>12</v>
      </c>
      <c r="B7" s="13" t="s">
        <v>21</v>
      </c>
      <c r="C7" s="13" t="s">
        <v>50</v>
      </c>
    </row>
    <row r="8" spans="1:3" x14ac:dyDescent="0.3">
      <c r="A8" s="13" t="s">
        <v>12</v>
      </c>
      <c r="B8" s="13" t="s">
        <v>23</v>
      </c>
      <c r="C8" s="13" t="s">
        <v>14</v>
      </c>
    </row>
    <row r="9" spans="1:3" x14ac:dyDescent="0.3">
      <c r="A9" s="13" t="s">
        <v>12</v>
      </c>
      <c r="B9" s="13" t="s">
        <v>24</v>
      </c>
      <c r="C9" s="13" t="s">
        <v>51</v>
      </c>
    </row>
    <row r="10" spans="1:3" x14ac:dyDescent="0.3">
      <c r="A10" s="13" t="s">
        <v>12</v>
      </c>
      <c r="B10" s="13" t="s">
        <v>25</v>
      </c>
      <c r="C10" s="13" t="s">
        <v>52</v>
      </c>
    </row>
    <row r="11" spans="1:3" x14ac:dyDescent="0.3">
      <c r="A11" s="13" t="s">
        <v>12</v>
      </c>
      <c r="B11" s="13" t="s">
        <v>27</v>
      </c>
      <c r="C11" s="13" t="s">
        <v>28</v>
      </c>
    </row>
    <row r="12" spans="1:3" x14ac:dyDescent="0.3">
      <c r="A12" s="13" t="s">
        <v>12</v>
      </c>
      <c r="B12" s="13" t="s">
        <v>29</v>
      </c>
      <c r="C12" s="13" t="s">
        <v>13</v>
      </c>
    </row>
    <row r="13" spans="1:3" x14ac:dyDescent="0.3">
      <c r="A13" s="13" t="s">
        <v>12</v>
      </c>
      <c r="B13" s="13" t="s">
        <v>30</v>
      </c>
      <c r="C13" s="13" t="s">
        <v>31</v>
      </c>
    </row>
    <row r="14" spans="1:3" x14ac:dyDescent="0.3">
      <c r="A14" s="13" t="s">
        <v>12</v>
      </c>
      <c r="B14" s="13" t="s">
        <v>32</v>
      </c>
      <c r="C14" s="13" t="s">
        <v>53</v>
      </c>
    </row>
    <row r="15" spans="1:3" x14ac:dyDescent="0.3">
      <c r="A15" s="13" t="s">
        <v>10</v>
      </c>
      <c r="B15" s="13" t="s">
        <v>34</v>
      </c>
      <c r="C15" s="13" t="s">
        <v>35</v>
      </c>
    </row>
    <row r="16" spans="1:3" x14ac:dyDescent="0.3">
      <c r="A16" s="13" t="s">
        <v>10</v>
      </c>
      <c r="B16" s="13" t="s">
        <v>36</v>
      </c>
      <c r="C16" s="13" t="s">
        <v>35</v>
      </c>
    </row>
    <row r="20" spans="1:3" x14ac:dyDescent="0.3">
      <c r="A20" s="17" t="s">
        <v>48</v>
      </c>
      <c r="B20" s="17"/>
      <c r="C20" s="20" t="s">
        <v>56</v>
      </c>
    </row>
    <row r="21" spans="1:3" x14ac:dyDescent="0.3">
      <c r="A21" s="15" t="s">
        <v>10</v>
      </c>
      <c r="B21" s="15" t="s">
        <v>38</v>
      </c>
      <c r="C21" s="15" t="s">
        <v>11</v>
      </c>
    </row>
    <row r="22" spans="1:3" x14ac:dyDescent="0.3">
      <c r="A22" s="16" t="s">
        <v>10</v>
      </c>
      <c r="B22" s="16" t="s">
        <v>39</v>
      </c>
      <c r="C22" s="16" t="s">
        <v>11</v>
      </c>
    </row>
    <row r="23" spans="1:3" x14ac:dyDescent="0.3">
      <c r="A23" s="16" t="s">
        <v>12</v>
      </c>
      <c r="B23" s="16" t="s">
        <v>40</v>
      </c>
      <c r="C23" s="16" t="s">
        <v>55</v>
      </c>
    </row>
    <row r="24" spans="1:3" x14ac:dyDescent="0.3">
      <c r="A24" s="16" t="s">
        <v>12</v>
      </c>
      <c r="B24" s="16" t="s">
        <v>42</v>
      </c>
      <c r="C24" s="16" t="s">
        <v>51</v>
      </c>
    </row>
    <row r="25" spans="1:3" x14ac:dyDescent="0.3">
      <c r="A25" s="16" t="s">
        <v>12</v>
      </c>
      <c r="B25" s="16" t="s">
        <v>43</v>
      </c>
      <c r="C25" s="16" t="s">
        <v>51</v>
      </c>
    </row>
    <row r="26" spans="1:3" x14ac:dyDescent="0.3">
      <c r="A26" s="16" t="s">
        <v>12</v>
      </c>
      <c r="B26" s="16" t="s">
        <v>44</v>
      </c>
      <c r="C26" s="16" t="s">
        <v>46</v>
      </c>
    </row>
    <row r="27" spans="1:3" x14ac:dyDescent="0.3">
      <c r="A27" s="16" t="s">
        <v>12</v>
      </c>
      <c r="B27" s="16" t="s">
        <v>45</v>
      </c>
      <c r="C27" s="16" t="s">
        <v>46</v>
      </c>
    </row>
  </sheetData>
  <pageMargins left="0.7" right="0.7" top="0.75" bottom="0.75" header="0.3" footer="0.3"/>
  <customProperties>
    <customPr name="LastActive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2D1E1-7B2C-4AE5-BED5-14A58D66F9ED}">
  <dimension ref="A1:L50"/>
  <sheetViews>
    <sheetView zoomScale="98" zoomScaleNormal="98" workbookViewId="0">
      <selection activeCell="D10" sqref="D10"/>
    </sheetView>
  </sheetViews>
  <sheetFormatPr defaultRowHeight="14.4" x14ac:dyDescent="0.3"/>
  <cols>
    <col min="1" max="1" width="39.33203125" style="2" customWidth="1"/>
    <col min="2" max="2" width="66" style="2" customWidth="1"/>
    <col min="3" max="3" width="33.77734375" style="2" customWidth="1"/>
    <col min="4" max="4" width="55.109375" customWidth="1"/>
    <col min="5" max="5" width="58.44140625" customWidth="1"/>
    <col min="6" max="6" width="63.33203125" customWidth="1"/>
    <col min="7" max="7" width="8.88671875" customWidth="1"/>
    <col min="8" max="8" width="66.77734375" customWidth="1"/>
    <col min="9" max="9" width="25.5546875" customWidth="1"/>
    <col min="10" max="10" width="8.88671875" hidden="1" customWidth="1"/>
    <col min="11" max="11" width="41.21875" customWidth="1"/>
    <col min="12" max="12" width="45.77734375" customWidth="1"/>
  </cols>
  <sheetData>
    <row r="1" spans="1:12" ht="14.4" customHeight="1" x14ac:dyDescent="0.3">
      <c r="A1" s="18" t="s">
        <v>37</v>
      </c>
      <c r="B1" s="4"/>
      <c r="C1" s="4" t="s">
        <v>15</v>
      </c>
      <c r="G1" s="9"/>
      <c r="H1" s="9"/>
      <c r="I1" s="6"/>
    </row>
    <row r="2" spans="1:12" x14ac:dyDescent="0.3">
      <c r="A2" s="5" t="s">
        <v>10</v>
      </c>
      <c r="B2" s="13" t="s">
        <v>16</v>
      </c>
      <c r="C2" s="5" t="s">
        <v>11</v>
      </c>
      <c r="G2" s="7"/>
      <c r="H2" s="7"/>
      <c r="I2" s="8"/>
    </row>
    <row r="3" spans="1:12" x14ac:dyDescent="0.3">
      <c r="A3" s="5" t="s">
        <v>10</v>
      </c>
      <c r="B3" s="13" t="s">
        <v>17</v>
      </c>
      <c r="C3" s="5" t="s">
        <v>11</v>
      </c>
      <c r="G3" s="7"/>
      <c r="H3" s="7"/>
      <c r="I3" s="8"/>
    </row>
    <row r="4" spans="1:12" x14ac:dyDescent="0.3">
      <c r="A4" s="5" t="s">
        <v>10</v>
      </c>
      <c r="B4" s="13" t="s">
        <v>18</v>
      </c>
      <c r="C4" s="5" t="s">
        <v>11</v>
      </c>
      <c r="G4" s="7"/>
      <c r="H4" s="7"/>
      <c r="I4" s="8"/>
    </row>
    <row r="5" spans="1:12" x14ac:dyDescent="0.3">
      <c r="A5" s="5" t="s">
        <v>10</v>
      </c>
      <c r="B5" s="13" t="s">
        <v>19</v>
      </c>
      <c r="C5" s="5" t="s">
        <v>11</v>
      </c>
      <c r="G5" s="7"/>
      <c r="H5" s="7"/>
      <c r="I5" s="8"/>
    </row>
    <row r="6" spans="1:12" x14ac:dyDescent="0.3">
      <c r="A6" s="5" t="s">
        <v>10</v>
      </c>
      <c r="B6" s="13" t="s">
        <v>20</v>
      </c>
      <c r="C6" s="5" t="s">
        <v>11</v>
      </c>
      <c r="G6" s="7"/>
      <c r="H6" s="7"/>
      <c r="I6" s="8"/>
      <c r="L6" s="1"/>
    </row>
    <row r="7" spans="1:12" x14ac:dyDescent="0.3">
      <c r="A7" s="5" t="s">
        <v>12</v>
      </c>
      <c r="B7" s="13" t="s">
        <v>21</v>
      </c>
      <c r="C7" s="5" t="s">
        <v>22</v>
      </c>
      <c r="G7" s="7"/>
      <c r="H7" s="7"/>
      <c r="I7" s="8"/>
    </row>
    <row r="8" spans="1:12" x14ac:dyDescent="0.3">
      <c r="A8" s="5" t="s">
        <v>12</v>
      </c>
      <c r="B8" s="13" t="s">
        <v>23</v>
      </c>
      <c r="C8" s="5" t="s">
        <v>14</v>
      </c>
      <c r="G8" s="7"/>
      <c r="H8" s="7"/>
      <c r="I8" s="8"/>
    </row>
    <row r="9" spans="1:12" x14ac:dyDescent="0.3">
      <c r="A9" s="5" t="s">
        <v>12</v>
      </c>
      <c r="B9" s="13" t="s">
        <v>24</v>
      </c>
      <c r="C9" s="5" t="s">
        <v>13</v>
      </c>
    </row>
    <row r="10" spans="1:12" x14ac:dyDescent="0.3">
      <c r="A10" s="5" t="s">
        <v>12</v>
      </c>
      <c r="B10" s="13" t="s">
        <v>25</v>
      </c>
      <c r="C10" s="5" t="s">
        <v>26</v>
      </c>
    </row>
    <row r="11" spans="1:12" x14ac:dyDescent="0.3">
      <c r="A11" s="5" t="s">
        <v>12</v>
      </c>
      <c r="B11" s="13" t="s">
        <v>27</v>
      </c>
      <c r="C11" s="5" t="s">
        <v>28</v>
      </c>
    </row>
    <row r="12" spans="1:12" x14ac:dyDescent="0.3">
      <c r="A12" s="5" t="s">
        <v>12</v>
      </c>
      <c r="B12" s="13" t="s">
        <v>29</v>
      </c>
      <c r="C12" s="5" t="s">
        <v>13</v>
      </c>
    </row>
    <row r="13" spans="1:12" x14ac:dyDescent="0.3">
      <c r="A13" s="5" t="s">
        <v>12</v>
      </c>
      <c r="B13" s="13" t="s">
        <v>30</v>
      </c>
      <c r="C13" s="5" t="s">
        <v>31</v>
      </c>
    </row>
    <row r="14" spans="1:12" x14ac:dyDescent="0.3">
      <c r="A14" s="5" t="s">
        <v>12</v>
      </c>
      <c r="B14" s="13" t="s">
        <v>32</v>
      </c>
      <c r="C14" s="5" t="s">
        <v>33</v>
      </c>
    </row>
    <row r="15" spans="1:12" x14ac:dyDescent="0.3">
      <c r="A15" s="5" t="s">
        <v>10</v>
      </c>
      <c r="B15" s="13" t="s">
        <v>34</v>
      </c>
      <c r="C15" s="5" t="s">
        <v>35</v>
      </c>
      <c r="L15" s="1"/>
    </row>
    <row r="16" spans="1:12" x14ac:dyDescent="0.3">
      <c r="A16" s="5" t="s">
        <v>10</v>
      </c>
      <c r="B16" s="13" t="s">
        <v>36</v>
      </c>
      <c r="C16" s="5" t="s">
        <v>35</v>
      </c>
      <c r="I16" s="1"/>
    </row>
    <row r="17" spans="1:12" x14ac:dyDescent="0.3">
      <c r="B17" s="3"/>
    </row>
    <row r="18" spans="1:12" x14ac:dyDescent="0.3">
      <c r="B18" s="3"/>
      <c r="L18" s="1"/>
    </row>
    <row r="19" spans="1:12" x14ac:dyDescent="0.3">
      <c r="A19" s="17" t="s">
        <v>48</v>
      </c>
      <c r="B19" s="17"/>
      <c r="C19" s="17" t="s">
        <v>47</v>
      </c>
    </row>
    <row r="20" spans="1:12" x14ac:dyDescent="0.3">
      <c r="A20" s="16" t="s">
        <v>10</v>
      </c>
      <c r="B20" s="16" t="s">
        <v>38</v>
      </c>
      <c r="C20" s="16" t="s">
        <v>11</v>
      </c>
    </row>
    <row r="21" spans="1:12" x14ac:dyDescent="0.3">
      <c r="A21" s="16" t="s">
        <v>10</v>
      </c>
      <c r="B21" s="16" t="s">
        <v>39</v>
      </c>
      <c r="C21" s="16" t="s">
        <v>11</v>
      </c>
      <c r="L21" s="1"/>
    </row>
    <row r="22" spans="1:12" x14ac:dyDescent="0.3">
      <c r="A22" s="16" t="s">
        <v>12</v>
      </c>
      <c r="B22" s="16" t="s">
        <v>40</v>
      </c>
      <c r="C22" s="16" t="s">
        <v>41</v>
      </c>
    </row>
    <row r="23" spans="1:12" x14ac:dyDescent="0.3">
      <c r="A23" s="16" t="s">
        <v>12</v>
      </c>
      <c r="B23" s="16" t="s">
        <v>42</v>
      </c>
      <c r="C23" s="16" t="s">
        <v>13</v>
      </c>
    </row>
    <row r="24" spans="1:12" x14ac:dyDescent="0.3">
      <c r="A24" s="16" t="s">
        <v>12</v>
      </c>
      <c r="B24" s="16" t="s">
        <v>43</v>
      </c>
      <c r="C24" s="16" t="s">
        <v>13</v>
      </c>
    </row>
    <row r="25" spans="1:12" x14ac:dyDescent="0.3">
      <c r="A25" s="16" t="s">
        <v>12</v>
      </c>
      <c r="B25" s="16" t="s">
        <v>44</v>
      </c>
      <c r="C25" s="16" t="s">
        <v>13</v>
      </c>
    </row>
    <row r="26" spans="1:12" x14ac:dyDescent="0.3">
      <c r="A26" s="16" t="s">
        <v>12</v>
      </c>
      <c r="B26" s="16" t="s">
        <v>45</v>
      </c>
      <c r="C26" s="16" t="s">
        <v>49</v>
      </c>
    </row>
    <row r="40" spans="9:9" x14ac:dyDescent="0.3">
      <c r="I40" s="1"/>
    </row>
    <row r="46" spans="9:9" x14ac:dyDescent="0.3">
      <c r="I46" s="1"/>
    </row>
    <row r="50" spans="9:9" x14ac:dyDescent="0.3">
      <c r="I50" s="1"/>
    </row>
  </sheetData>
  <phoneticPr fontId="1" type="noConversion"/>
  <pageMargins left="0.7" right="0.7" top="0.75" bottom="0.75" header="0.3" footer="0.3"/>
  <customProperties>
    <customPr name="LastActive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947B6-4863-43B6-BC5E-EC5A69149A66}">
  <dimension ref="A1:C25"/>
  <sheetViews>
    <sheetView workbookViewId="0">
      <selection activeCell="A19" sqref="A19:C25"/>
    </sheetView>
  </sheetViews>
  <sheetFormatPr defaultRowHeight="14.4" x14ac:dyDescent="0.3"/>
  <cols>
    <col min="1" max="1" width="27" style="2" customWidth="1"/>
    <col min="2" max="2" width="70" style="2" customWidth="1"/>
    <col min="3" max="3" width="50.6640625" style="2" customWidth="1"/>
  </cols>
  <sheetData>
    <row r="1" spans="1:3" x14ac:dyDescent="0.3">
      <c r="A1" s="10" t="s">
        <v>37</v>
      </c>
      <c r="B1" s="12"/>
      <c r="C1" s="10" t="s">
        <v>60</v>
      </c>
    </row>
    <row r="2" spans="1:3" x14ac:dyDescent="0.3">
      <c r="A2" s="13" t="s">
        <v>10</v>
      </c>
      <c r="B2" s="13" t="s">
        <v>16</v>
      </c>
      <c r="C2" s="13" t="s">
        <v>11</v>
      </c>
    </row>
    <row r="3" spans="1:3" x14ac:dyDescent="0.3">
      <c r="A3" s="13" t="s">
        <v>10</v>
      </c>
      <c r="B3" s="13" t="s">
        <v>17</v>
      </c>
      <c r="C3" s="13" t="s">
        <v>11</v>
      </c>
    </row>
    <row r="4" spans="1:3" x14ac:dyDescent="0.3">
      <c r="A4" s="13" t="s">
        <v>10</v>
      </c>
      <c r="B4" s="13" t="s">
        <v>18</v>
      </c>
      <c r="C4" s="13" t="s">
        <v>11</v>
      </c>
    </row>
    <row r="5" spans="1:3" x14ac:dyDescent="0.3">
      <c r="A5" s="13" t="s">
        <v>10</v>
      </c>
      <c r="B5" s="13" t="s">
        <v>19</v>
      </c>
      <c r="C5" s="13" t="s">
        <v>11</v>
      </c>
    </row>
    <row r="6" spans="1:3" x14ac:dyDescent="0.3">
      <c r="A6" s="13" t="s">
        <v>10</v>
      </c>
      <c r="B6" s="13" t="s">
        <v>20</v>
      </c>
      <c r="C6" s="13" t="s">
        <v>11</v>
      </c>
    </row>
    <row r="7" spans="1:3" x14ac:dyDescent="0.3">
      <c r="A7" s="13" t="s">
        <v>12</v>
      </c>
      <c r="B7" s="13" t="s">
        <v>21</v>
      </c>
      <c r="C7" s="13" t="s">
        <v>57</v>
      </c>
    </row>
    <row r="8" spans="1:3" x14ac:dyDescent="0.3">
      <c r="A8" s="13" t="s">
        <v>12</v>
      </c>
      <c r="B8" s="13" t="s">
        <v>23</v>
      </c>
      <c r="C8" s="13" t="s">
        <v>14</v>
      </c>
    </row>
    <row r="9" spans="1:3" x14ac:dyDescent="0.3">
      <c r="A9" s="13" t="s">
        <v>12</v>
      </c>
      <c r="B9" s="13" t="s">
        <v>24</v>
      </c>
      <c r="C9" s="13" t="s">
        <v>13</v>
      </c>
    </row>
    <row r="10" spans="1:3" x14ac:dyDescent="0.3">
      <c r="A10" s="13" t="s">
        <v>12</v>
      </c>
      <c r="B10" s="13" t="s">
        <v>25</v>
      </c>
      <c r="C10" s="13" t="s">
        <v>58</v>
      </c>
    </row>
    <row r="11" spans="1:3" x14ac:dyDescent="0.3">
      <c r="A11" s="13" t="s">
        <v>12</v>
      </c>
      <c r="B11" s="13" t="s">
        <v>27</v>
      </c>
      <c r="C11" s="13" t="s">
        <v>14</v>
      </c>
    </row>
    <row r="12" spans="1:3" x14ac:dyDescent="0.3">
      <c r="A12" s="13" t="s">
        <v>12</v>
      </c>
      <c r="B12" s="13" t="s">
        <v>29</v>
      </c>
      <c r="C12" s="13" t="s">
        <v>13</v>
      </c>
    </row>
    <row r="13" spans="1:3" x14ac:dyDescent="0.3">
      <c r="A13" s="13" t="s">
        <v>12</v>
      </c>
      <c r="B13" s="13" t="s">
        <v>30</v>
      </c>
      <c r="C13" s="13" t="s">
        <v>31</v>
      </c>
    </row>
    <row r="14" spans="1:3" x14ac:dyDescent="0.3">
      <c r="A14" s="13" t="s">
        <v>12</v>
      </c>
      <c r="B14" s="13" t="s">
        <v>32</v>
      </c>
      <c r="C14" s="13" t="s">
        <v>59</v>
      </c>
    </row>
    <row r="15" spans="1:3" x14ac:dyDescent="0.3">
      <c r="A15" s="13" t="s">
        <v>10</v>
      </c>
      <c r="B15" s="13" t="s">
        <v>34</v>
      </c>
      <c r="C15" s="13" t="s">
        <v>35</v>
      </c>
    </row>
    <row r="16" spans="1:3" x14ac:dyDescent="0.3">
      <c r="A16" s="13" t="s">
        <v>10</v>
      </c>
      <c r="B16" s="13" t="s">
        <v>36</v>
      </c>
      <c r="C16" s="13" t="s">
        <v>35</v>
      </c>
    </row>
    <row r="18" spans="1:3" x14ac:dyDescent="0.3">
      <c r="A18" s="17" t="s">
        <v>48</v>
      </c>
      <c r="B18" s="15"/>
      <c r="C18" s="17" t="s">
        <v>61</v>
      </c>
    </row>
    <row r="19" spans="1:3" x14ac:dyDescent="0.3">
      <c r="A19" s="16" t="s">
        <v>10</v>
      </c>
      <c r="B19" s="16" t="s">
        <v>38</v>
      </c>
      <c r="C19" s="16" t="s">
        <v>11</v>
      </c>
    </row>
    <row r="20" spans="1:3" x14ac:dyDescent="0.3">
      <c r="A20" s="16" t="s">
        <v>10</v>
      </c>
      <c r="B20" s="16" t="s">
        <v>39</v>
      </c>
      <c r="C20" s="16" t="s">
        <v>11</v>
      </c>
    </row>
    <row r="21" spans="1:3" x14ac:dyDescent="0.3">
      <c r="A21" s="16" t="s">
        <v>12</v>
      </c>
      <c r="B21" s="16" t="s">
        <v>40</v>
      </c>
      <c r="C21" s="16" t="s">
        <v>41</v>
      </c>
    </row>
    <row r="22" spans="1:3" x14ac:dyDescent="0.3">
      <c r="A22" s="16" t="s">
        <v>12</v>
      </c>
      <c r="B22" s="16" t="s">
        <v>42</v>
      </c>
      <c r="C22" s="16" t="s">
        <v>51</v>
      </c>
    </row>
    <row r="23" spans="1:3" x14ac:dyDescent="0.3">
      <c r="A23" s="16" t="s">
        <v>12</v>
      </c>
      <c r="B23" s="16" t="s">
        <v>43</v>
      </c>
      <c r="C23" s="16" t="s">
        <v>13</v>
      </c>
    </row>
    <row r="24" spans="1:3" x14ac:dyDescent="0.3">
      <c r="A24" s="16" t="s">
        <v>12</v>
      </c>
      <c r="B24" s="16" t="s">
        <v>44</v>
      </c>
      <c r="C24" s="16" t="s">
        <v>46</v>
      </c>
    </row>
    <row r="25" spans="1:3" x14ac:dyDescent="0.3">
      <c r="A25" s="16" t="s">
        <v>12</v>
      </c>
      <c r="B25" s="16" t="s">
        <v>45</v>
      </c>
      <c r="C25" s="16" t="s">
        <v>51</v>
      </c>
    </row>
  </sheetData>
  <pageMargins left="0.7" right="0.7" top="0.75" bottom="0.75" header="0.3" footer="0.3"/>
  <customProperties>
    <customPr name="LastActive" r:id="rId1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ADD87-EB74-4315-8251-417E6D860EF9}">
  <dimension ref="A1:C25"/>
  <sheetViews>
    <sheetView workbookViewId="0">
      <selection activeCell="A19" sqref="A19:C25"/>
    </sheetView>
  </sheetViews>
  <sheetFormatPr defaultRowHeight="14.4" x14ac:dyDescent="0.3"/>
  <cols>
    <col min="1" max="1" width="26.88671875" style="2" customWidth="1"/>
    <col min="2" max="2" width="82.109375" style="2" customWidth="1"/>
    <col min="3" max="3" width="24.21875" style="2" customWidth="1"/>
  </cols>
  <sheetData>
    <row r="1" spans="1:3" x14ac:dyDescent="0.3">
      <c r="A1" s="10" t="s">
        <v>37</v>
      </c>
      <c r="C1" s="10" t="s">
        <v>62</v>
      </c>
    </row>
    <row r="2" spans="1:3" x14ac:dyDescent="0.3">
      <c r="A2" s="12" t="s">
        <v>10</v>
      </c>
      <c r="B2" s="12" t="s">
        <v>16</v>
      </c>
      <c r="C2" s="12" t="s">
        <v>11</v>
      </c>
    </row>
    <row r="3" spans="1:3" x14ac:dyDescent="0.3">
      <c r="A3" s="13" t="s">
        <v>10</v>
      </c>
      <c r="B3" s="13" t="s">
        <v>17</v>
      </c>
      <c r="C3" s="13" t="s">
        <v>11</v>
      </c>
    </row>
    <row r="4" spans="1:3" x14ac:dyDescent="0.3">
      <c r="A4" s="13" t="s">
        <v>10</v>
      </c>
      <c r="B4" s="13" t="s">
        <v>18</v>
      </c>
      <c r="C4" s="13" t="s">
        <v>11</v>
      </c>
    </row>
    <row r="5" spans="1:3" x14ac:dyDescent="0.3">
      <c r="A5" s="13" t="s">
        <v>10</v>
      </c>
      <c r="B5" s="13" t="s">
        <v>19</v>
      </c>
      <c r="C5" s="13" t="s">
        <v>11</v>
      </c>
    </row>
    <row r="6" spans="1:3" x14ac:dyDescent="0.3">
      <c r="A6" s="13" t="s">
        <v>10</v>
      </c>
      <c r="B6" s="13" t="s">
        <v>20</v>
      </c>
      <c r="C6" s="13" t="s">
        <v>11</v>
      </c>
    </row>
    <row r="7" spans="1:3" x14ac:dyDescent="0.3">
      <c r="A7" s="13" t="s">
        <v>12</v>
      </c>
      <c r="B7" s="13" t="s">
        <v>21</v>
      </c>
      <c r="C7" s="13" t="s">
        <v>50</v>
      </c>
    </row>
    <row r="8" spans="1:3" x14ac:dyDescent="0.3">
      <c r="A8" s="13" t="s">
        <v>12</v>
      </c>
      <c r="B8" s="13" t="s">
        <v>23</v>
      </c>
      <c r="C8" s="13" t="s">
        <v>14</v>
      </c>
    </row>
    <row r="9" spans="1:3" x14ac:dyDescent="0.3">
      <c r="A9" s="13" t="s">
        <v>12</v>
      </c>
      <c r="B9" s="13" t="s">
        <v>24</v>
      </c>
      <c r="C9" s="13" t="s">
        <v>13</v>
      </c>
    </row>
    <row r="10" spans="1:3" x14ac:dyDescent="0.3">
      <c r="A10" s="13" t="s">
        <v>12</v>
      </c>
      <c r="B10" s="13" t="s">
        <v>25</v>
      </c>
      <c r="C10" s="13" t="s">
        <v>58</v>
      </c>
    </row>
    <row r="11" spans="1:3" x14ac:dyDescent="0.3">
      <c r="A11" s="13" t="s">
        <v>12</v>
      </c>
      <c r="B11" s="13" t="s">
        <v>27</v>
      </c>
      <c r="C11" s="13" t="s">
        <v>28</v>
      </c>
    </row>
    <row r="12" spans="1:3" x14ac:dyDescent="0.3">
      <c r="A12" s="13" t="s">
        <v>12</v>
      </c>
      <c r="B12" s="13" t="s">
        <v>29</v>
      </c>
      <c r="C12" s="13" t="s">
        <v>46</v>
      </c>
    </row>
    <row r="13" spans="1:3" x14ac:dyDescent="0.3">
      <c r="A13" s="13" t="s">
        <v>12</v>
      </c>
      <c r="B13" s="13" t="s">
        <v>30</v>
      </c>
      <c r="C13" s="13" t="s">
        <v>31</v>
      </c>
    </row>
    <row r="14" spans="1:3" x14ac:dyDescent="0.3">
      <c r="A14" s="13" t="s">
        <v>12</v>
      </c>
      <c r="B14" s="13" t="s">
        <v>32</v>
      </c>
      <c r="C14" s="13" t="s">
        <v>59</v>
      </c>
    </row>
    <row r="15" spans="1:3" x14ac:dyDescent="0.3">
      <c r="A15" s="13" t="s">
        <v>10</v>
      </c>
      <c r="B15" s="13" t="s">
        <v>34</v>
      </c>
      <c r="C15" s="13" t="s">
        <v>35</v>
      </c>
    </row>
    <row r="16" spans="1:3" x14ac:dyDescent="0.3">
      <c r="A16" s="13" t="s">
        <v>10</v>
      </c>
      <c r="B16" s="13" t="s">
        <v>36</v>
      </c>
      <c r="C16" s="13" t="s">
        <v>35</v>
      </c>
    </row>
    <row r="18" spans="1:3" x14ac:dyDescent="0.3">
      <c r="A18" s="17" t="s">
        <v>63</v>
      </c>
      <c r="C18" s="14" t="s">
        <v>64</v>
      </c>
    </row>
    <row r="19" spans="1:3" x14ac:dyDescent="0.3">
      <c r="A19" s="15" t="s">
        <v>10</v>
      </c>
      <c r="B19" s="15" t="s">
        <v>38</v>
      </c>
      <c r="C19" s="15" t="s">
        <v>11</v>
      </c>
    </row>
    <row r="20" spans="1:3" x14ac:dyDescent="0.3">
      <c r="A20" s="16" t="s">
        <v>10</v>
      </c>
      <c r="B20" s="16" t="s">
        <v>39</v>
      </c>
      <c r="C20" s="16" t="s">
        <v>11</v>
      </c>
    </row>
    <row r="21" spans="1:3" x14ac:dyDescent="0.3">
      <c r="A21" s="16" t="s">
        <v>12</v>
      </c>
      <c r="B21" s="16" t="s">
        <v>40</v>
      </c>
      <c r="C21" s="16" t="s">
        <v>55</v>
      </c>
    </row>
    <row r="22" spans="1:3" x14ac:dyDescent="0.3">
      <c r="A22" s="16" t="s">
        <v>12</v>
      </c>
      <c r="B22" s="16" t="s">
        <v>66</v>
      </c>
      <c r="C22" s="16" t="s">
        <v>51</v>
      </c>
    </row>
    <row r="23" spans="1:3" x14ac:dyDescent="0.3">
      <c r="A23" s="16" t="s">
        <v>12</v>
      </c>
      <c r="B23" s="16" t="s">
        <v>65</v>
      </c>
      <c r="C23" s="16" t="s">
        <v>51</v>
      </c>
    </row>
    <row r="24" spans="1:3" x14ac:dyDescent="0.3">
      <c r="A24" s="16" t="s">
        <v>12</v>
      </c>
      <c r="B24" s="16" t="s">
        <v>44</v>
      </c>
      <c r="C24" s="16" t="s">
        <v>46</v>
      </c>
    </row>
    <row r="25" spans="1:3" x14ac:dyDescent="0.3">
      <c r="A25" s="16" t="s">
        <v>12</v>
      </c>
      <c r="B25" s="16" t="s">
        <v>45</v>
      </c>
      <c r="C25" s="16" t="s">
        <v>46</v>
      </c>
    </row>
  </sheetData>
  <pageMargins left="0.7" right="0.7" top="0.75" bottom="0.75" header="0.3" footer="0.3"/>
  <customProperties>
    <customPr name="LastActive" r:id="rId1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68851-2A1E-4F7E-98D3-35B491540351}">
  <dimension ref="A1:B2"/>
  <sheetViews>
    <sheetView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 t="s">
        <v>79</v>
      </c>
    </row>
    <row r="2" spans="1:2" x14ac:dyDescent="0.3">
      <c r="B2">
        <f>SUMIF(All_scorecards!A:A, "Hamburg Proebenweg", All_scorecards!H:H)</f>
        <v>27</v>
      </c>
    </row>
  </sheetData>
  <pageMargins left="0.7" right="0.7" top="0.75" bottom="0.75" header="0.3" footer="0.3"/>
  <customProperties>
    <customPr name="LastActive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All_scorecards</vt:lpstr>
      <vt:lpstr>SCORECARD_1</vt:lpstr>
      <vt:lpstr>SCORECARD_2</vt:lpstr>
      <vt:lpstr>SCORECARD_3</vt:lpstr>
      <vt:lpstr>SCORECARD_4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prasadsuryawanshi0007@outlook.com</dc:creator>
  <cp:lastModifiedBy>prasadsuryawanshi0007@outlook.com</cp:lastModifiedBy>
  <dcterms:created xsi:type="dcterms:W3CDTF">2025-10-26T16:55:40Z</dcterms:created>
  <dcterms:modified xsi:type="dcterms:W3CDTF">2025-11-10T17:45:40Z</dcterms:modified>
</cp:coreProperties>
</file>